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tables/table14.xml" ContentType="application/vnd.openxmlformats-officedocument.spreadsheetml.table+xml"/>
  <Override PartName="/xl/queryTables/queryTable13.xml" ContentType="application/vnd.openxmlformats-officedocument.spreadsheetml.queryTable+xml"/>
  <Override PartName="/xl/tables/table15.xml" ContentType="application/vnd.openxmlformats-officedocument.spreadsheetml.table+xml"/>
  <Override PartName="/xl/queryTables/queryTable14.xml" ContentType="application/vnd.openxmlformats-officedocument.spreadsheetml.queryTable+xml"/>
  <Override PartName="/xl/tables/table16.xml" ContentType="application/vnd.openxmlformats-officedocument.spreadsheetml.table+xml"/>
  <Override PartName="/xl/queryTables/queryTable15.xml" ContentType="application/vnd.openxmlformats-officedocument.spreadsheetml.queryTable+xml"/>
  <Override PartName="/xl/tables/table17.xml" ContentType="application/vnd.openxmlformats-officedocument.spreadsheetml.table+xml"/>
  <Override PartName="/xl/queryTables/queryTable16.xml" ContentType="application/vnd.openxmlformats-officedocument.spreadsheetml.queryTable+xml"/>
  <Override PartName="/xl/tables/table18.xml" ContentType="application/vnd.openxmlformats-officedocument.spreadsheetml.table+xml"/>
  <Override PartName="/xl/queryTables/queryTable17.xml" ContentType="application/vnd.openxmlformats-officedocument.spreadsheetml.queryTable+xml"/>
  <Override PartName="/xl/tables/table19.xml" ContentType="application/vnd.openxmlformats-officedocument.spreadsheetml.table+xml"/>
  <Override PartName="/xl/queryTables/queryTable1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M:\ELMO Invoicing\CYP - AMWU\"/>
    </mc:Choice>
  </mc:AlternateContent>
  <xr:revisionPtr revIDLastSave="0" documentId="13_ncr:1_{A3BB8708-58ED-4E76-B5F1-31E36DE900AE}" xr6:coauthVersionLast="47" xr6:coauthVersionMax="47" xr10:uidLastSave="{00000000-0000-0000-0000-000000000000}"/>
  <bookViews>
    <workbookView xWindow="-120" yWindow="-120" windowWidth="29040" windowHeight="15720" tabRatio="838" firstSheet="9" activeTab="11" xr2:uid="{769734E3-527A-46C1-A840-C2FC23633FA2}"/>
  </bookViews>
  <sheets>
    <sheet name="Input Charge Sheet" sheetId="4" r:id="rId1"/>
    <sheet name="Charge Sheet" sheetId="6" r:id="rId2"/>
    <sheet name="Job_Classifications" sheetId="2" r:id="rId3"/>
    <sheet name="Leading Hand  (2-5 Reports)" sheetId="26" r:id="rId4"/>
    <sheet name="Site Allowance" sheetId="5" r:id="rId5"/>
    <sheet name="Overtime Meal Allowance" sheetId="9" r:id="rId6"/>
    <sheet name="Travel &amp; Fares Allowance" sheetId="10" r:id="rId7"/>
    <sheet name="RDO Worked" sheetId="24" r:id="rId8"/>
    <sheet name="Overtime Productivity Allowance" sheetId="11" r:id="rId9"/>
    <sheet name="RDO Payout" sheetId="18" r:id="rId10"/>
    <sheet name="Pay Journal" sheetId="28" r:id="rId11"/>
    <sheet name="Daily_Cost_Detail_-_Actual" sheetId="3" r:id="rId12"/>
    <sheet name="WGT" sheetId="20" r:id="rId13"/>
    <sheet name="HBM Invoice" sheetId="25" r:id="rId14"/>
    <sheet name="WAB Invoice" sheetId="19" r:id="rId15"/>
    <sheet name="RTF Invoice" sheetId="23" r:id="rId16"/>
    <sheet name="CBD Invoice" sheetId="15" r:id="rId17"/>
    <sheet name="DOM Invoice" sheetId="21" r:id="rId18"/>
    <sheet name="ARD Invoice" sheetId="22" r:id="rId19"/>
  </sheets>
  <definedNames>
    <definedName name="ExternalData_1" localSheetId="1" hidden="1">'Charge Sheet'!$A$1:$N$31</definedName>
    <definedName name="ExternalData_1" localSheetId="2" hidden="1">Job_Classifications!$A$1:$E$59</definedName>
    <definedName name="ExternalData_1" localSheetId="4" hidden="1">'Site Allowance'!$A$1:$AN$20</definedName>
    <definedName name="ExternalData_1" localSheetId="12" hidden="1">WGT!$A$1:$CC$36</definedName>
    <definedName name="ExternalData_2" localSheetId="11" hidden="1">'Daily_Cost_Detail_-_Actual'!$A$1:$CB$224</definedName>
    <definedName name="ExternalData_2" localSheetId="5" hidden="1">'Overtime Meal Allowance'!$A$1:$BB$19</definedName>
    <definedName name="ExternalData_2" localSheetId="6" hidden="1">'Travel &amp; Fares Allowance'!$A$1:$BL$21</definedName>
    <definedName name="ExternalData_3" localSheetId="16" hidden="1">'CBD Invoice'!$A$1:$CC$99</definedName>
    <definedName name="ExternalData_3" localSheetId="3" hidden="1">'Leading Hand  (2-5 Reports)'!$A$1:$A$2</definedName>
    <definedName name="ExternalData_3" localSheetId="8" hidden="1">'Overtime Productivity Allowance'!$A$1:$AR$12</definedName>
    <definedName name="ExternalData_3" localSheetId="10" hidden="1">'Pay Journal'!$A$1:$BC$21</definedName>
    <definedName name="ExternalData_4" localSheetId="18" hidden="1">'ARD Invoice'!$A$1:$CC$24</definedName>
    <definedName name="ExternalData_4" localSheetId="17" hidden="1">'DOM Invoice'!$A$1:$CC$26</definedName>
    <definedName name="ExternalData_4" localSheetId="7" hidden="1">'RDO Worked'!$A$1:$BH$21</definedName>
    <definedName name="ExternalData_4" localSheetId="14" hidden="1">'WAB Invoice'!$A$1:$BZ$4</definedName>
    <definedName name="ExternalData_5" localSheetId="13" hidden="1">'HBM Invoice'!$A$1:$F$19</definedName>
    <definedName name="ExternalData_5" localSheetId="9" hidden="1">'RDO Payout'!$A$1:$BI$2</definedName>
    <definedName name="ExternalData_5" localSheetId="15" hidden="1">'RTF Invoice'!$A$1:$BZ$2</definedName>
    <definedName name="Reconciliation">'Daily_Cost_Detail_-_Actual'!$A$241:$B$250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30" i="3" l="1"/>
  <c r="F25" i="22"/>
  <c r="F27" i="21"/>
  <c r="F100" i="15"/>
  <c r="CC100" i="15"/>
  <c r="F3" i="23"/>
  <c r="F5" i="19"/>
  <c r="F20" i="25"/>
  <c r="F37" i="20"/>
  <c r="G225" i="3"/>
  <c r="I225" i="3"/>
  <c r="J225" i="3"/>
  <c r="V22" i="28"/>
  <c r="AT22" i="28"/>
  <c r="AU22" i="28"/>
  <c r="AV22" i="28"/>
  <c r="AW22" i="28"/>
  <c r="AX22" i="28"/>
  <c r="A241" i="3"/>
  <c r="C247" i="3"/>
  <c r="C245" i="3"/>
  <c r="C241" i="3"/>
  <c r="C249" i="3" l="1"/>
  <c r="C250" i="3" s="1"/>
  <c r="C238" i="3"/>
  <c r="C239" i="3" l="1"/>
  <c r="J227" i="3" l="1"/>
  <c r="J22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9AA7E8B-E725-497E-ABF4-9267A930C59D}" keepAlive="1" name="Query - ARD Invoice" description="Connection to the 'ARD Invoice' query in the workbook." type="5" refreshedVersion="8" background="1" saveData="1">
    <dbPr connection="Provider=Microsoft.Mashup.OleDb.1;Data Source=$Workbook$;Location=&quot;ARD Invoice&quot;;Extended Properties=&quot;&quot;" command="SELECT * FROM [ARD Invoice]"/>
  </connection>
  <connection id="2" xr16:uid="{293AB704-E8A4-42C7-8E43-1AC45BDCA3F5}" keepAlive="1" name="Query - CBD Invoice" description="Connection to the 'CBD Invoice' query in the workbook." type="5" refreshedVersion="8" background="1" saveData="1">
    <dbPr connection="Provider=Microsoft.Mashup.OleDb.1;Data Source=$Workbook$;Location=&quot;CBD Invoice&quot;;Extended Properties=&quot;&quot;" command="SELECT * FROM [CBD Invoice]"/>
  </connection>
  <connection id="3" xr16:uid="{D7B441B5-1DB6-48D2-B237-DB9E17F9E086}" keepAlive="1" name="Query - Charge Sheet" description="Connection to the 'Charge Sheet' query in the workbook." type="5" refreshedVersion="8" background="1" saveData="1">
    <dbPr connection="Provider=Microsoft.Mashup.OleDb.1;Data Source=$Workbook$;Location=&quot;Charge Sheet&quot;;Extended Properties=&quot;&quot;" command="SELECT * FROM [Charge Sheet]"/>
  </connection>
  <connection id="4" xr16:uid="{9D43C91A-E05F-4964-A629-7BC1979FBAD6}" keepAlive="1" name="Query - Daily_Cost_Detail_-_Actual" description="Connection to the 'Daily_Cost_Detail_-_Actual' query in the workbook." type="5" refreshedVersion="8" background="1" saveData="1">
    <dbPr connection="Provider=Microsoft.Mashup.OleDb.1;Data Source=$Workbook$;Location=Daily_Cost_Detail_-_Actual;Extended Properties=&quot;&quot;" command="SELECT * FROM [Daily_Cost_Detail_-_Actual]"/>
  </connection>
  <connection id="5" xr16:uid="{B1F6A6C1-6221-413B-91AF-45D74A3BD8EB}" keepAlive="1" name="Query - DOM Invoice" description="Connection to the 'DOM Invoice' query in the workbook." type="5" refreshedVersion="8" background="1" saveData="1">
    <dbPr connection="Provider=Microsoft.Mashup.OleDb.1;Data Source=$Workbook$;Location=&quot;DOM Invoice&quot;;Extended Properties=&quot;&quot;" command="SELECT * FROM [DOM Invoice]"/>
  </connection>
  <connection id="6" xr16:uid="{79EBAFCE-CFAB-4411-847F-0922F2C89167}" keepAlive="1" name="Query - HBM Invoice" description="Connection to the 'HBM Invoice' query in the workbook." type="5" refreshedVersion="8" background="1" saveData="1">
    <dbPr connection="Provider=Microsoft.Mashup.OleDb.1;Data Source=$Workbook$;Location=&quot;HBM Invoice&quot;;Extended Properties=&quot;&quot;" command="SELECT * FROM [HBM Invoice]"/>
  </connection>
  <connection id="7" xr16:uid="{E12833B5-5EE6-4195-BEC6-6F892AEC41D9}" keepAlive="1" name="Query - Job_Classifications" description="Connection to the 'Job_Classifications' query in the workbook." type="5" refreshedVersion="8" background="1" saveData="1">
    <dbPr connection="Provider=Microsoft.Mashup.OleDb.1;Data Source=$Workbook$;Location=Job_Classifications;Extended Properties=&quot;&quot;" command="SELECT * FROM [Job_Classifications]"/>
  </connection>
  <connection id="8" xr16:uid="{3A2FEE5E-95A5-4194-881F-46F504D7C428}" keepAlive="1" name="Query - Leading Hand (2-5 Reports)" description="Connection to the 'Leading Hand (2-5 Reports)' query in the workbook." type="5" refreshedVersion="8" background="1" saveData="1">
    <dbPr connection="Provider=Microsoft.Mashup.OleDb.1;Data Source=$Workbook$;Location=&quot;Leading Hand (2-5 Reports)&quot;;Extended Properties=&quot;&quot;" command="SELECT * FROM [Leading Hand (2-5 Reports)]"/>
  </connection>
  <connection id="9" xr16:uid="{97068B62-DB86-4C9A-AA8D-0E64FF391970}" keepAlive="1" name="Query - Overtime Meal Allowance" description="Connection to the 'Overtime Meal Allowance' query in the workbook." type="5" refreshedVersion="8" background="1" saveData="1">
    <dbPr connection="Provider=Microsoft.Mashup.OleDb.1;Data Source=$Workbook$;Location=&quot;Overtime Meal Allowance&quot;;Extended Properties=&quot;&quot;" command="SELECT * FROM [Overtime Meal Allowance]"/>
  </connection>
  <connection id="10" xr16:uid="{5DEC1CCC-F49F-4D42-A69A-C0D8F41EA2A1}" keepAlive="1" name="Query - Overtime Productivity Allowance" description="Connection to the 'Overtime Productivity Allowance' query in the workbook." type="5" refreshedVersion="8" background="1" saveData="1">
    <dbPr connection="Provider=Microsoft.Mashup.OleDb.1;Data Source=$Workbook$;Location=&quot;Overtime Productivity Allowance&quot;;Extended Properties=&quot;&quot;" command="SELECT * FROM [Overtime Productivity Allowance]"/>
  </connection>
  <connection id="11" xr16:uid="{81EFE3FF-0FFF-4FB5-A381-D1C92BEE11DC}" keepAlive="1" name="Query - Pay Journal (CSV)" description="Connection to the 'Pay Journal (CSV)' query in the workbook." type="5" refreshedVersion="8" background="1" saveData="1">
    <dbPr connection="Provider=Microsoft.Mashup.OleDb.1;Data Source=$Workbook$;Location=&quot;Pay Journal (CSV)&quot;;Extended Properties=&quot;&quot;" command="SELECT * FROM [Pay Journal (CSV)]"/>
  </connection>
  <connection id="12" xr16:uid="{6FB6889B-4974-4547-826B-DA3C91AB7B20}" keepAlive="1" name="Query - RDO Payout" description="Connection to the 'RDO Payout' query in the workbook." type="5" refreshedVersion="8" background="1" saveData="1">
    <dbPr connection="Provider=Microsoft.Mashup.OleDb.1;Data Source=$Workbook$;Location=&quot;RDO Payout&quot;;Extended Properties=&quot;&quot;" command="SELECT * FROM [RDO Payout]"/>
  </connection>
  <connection id="13" xr16:uid="{B9E70267-476F-4EDE-AC86-7C8767458407}" keepAlive="1" name="Query - RDO Worked" description="Connection to the 'RDO Worked' query in the workbook." type="5" refreshedVersion="8" background="1" saveData="1">
    <dbPr connection="Provider=Microsoft.Mashup.OleDb.1;Data Source=$Workbook$;Location=&quot;RDO Worked&quot;;Extended Properties=&quot;&quot;" command="SELECT * FROM [RDO Worked]"/>
  </connection>
  <connection id="14" xr16:uid="{426F6FF7-D0C9-4B67-95EF-2B576D5FCAB1}" keepAlive="1" name="Query - RTF Invoice" description="Connection to the 'RTF Invoice' query in the workbook." type="5" refreshedVersion="8" background="1" saveData="1">
    <dbPr connection="Provider=Microsoft.Mashup.OleDb.1;Data Source=$Workbook$;Location=&quot;RTF Invoice&quot;;Extended Properties=&quot;&quot;" command="SELECT * FROM [RTF Invoice]"/>
  </connection>
  <connection id="15" xr16:uid="{125C4F98-778A-44A6-8762-F681E9C19D89}" keepAlive="1" name="Query - Site Allowance" description="Connection to the 'Site Allowance' query in the workbook." type="5" refreshedVersion="8" background="1" saveData="1">
    <dbPr connection="Provider=Microsoft.Mashup.OleDb.1;Data Source=$Workbook$;Location=&quot;Site Allowance&quot;;Extended Properties=&quot;&quot;" command="SELECT * FROM [Site Allowance]"/>
  </connection>
  <connection id="16" xr16:uid="{7376CE6E-35CD-4670-A582-508C9C159A4D}" keepAlive="1" name="Query - Travel &amp; Fares Allowance" description="Connection to the 'Travel &amp; Fares Allowance' query in the workbook." type="5" refreshedVersion="8" background="1" saveData="1">
    <dbPr connection="Provider=Microsoft.Mashup.OleDb.1;Data Source=$Workbook$;Location=&quot;Travel &amp; Fares Allowance&quot;;Extended Properties=&quot;&quot;" command="SELECT * FROM [Travel &amp; Fares Allowance]"/>
  </connection>
  <connection id="17" xr16:uid="{C7F0D893-E64C-44AA-A3DC-FCCEF74528EA}" keepAlive="1" name="Query - WAB invoice" description="Connection to the 'WAB invoice' query in the workbook." type="5" refreshedVersion="8" background="1" saveData="1">
    <dbPr connection="Provider=Microsoft.Mashup.OleDb.1;Data Source=$Workbook$;Location=&quot;WAB invoice&quot;;Extended Properties=&quot;&quot;" command="SELECT * FROM [WAB invoice]"/>
  </connection>
  <connection id="18" xr16:uid="{2CD713FF-2204-4BE7-BE87-0EC0C0F9A7E7}" keepAlive="1" name="Query - WGT Invoice" description="Connection to the 'WGT Invoice' query in the workbook." type="5" refreshedVersion="8" background="1" saveData="1">
    <dbPr connection="Provider=Microsoft.Mashup.OleDb.1;Data Source=$Workbook$;Location=&quot;WGT Invoice&quot;;Extended Properties=&quot;&quot;" command="SELECT * FROM [WGT Invoice]"/>
  </connection>
</connections>
</file>

<file path=xl/sharedStrings.xml><?xml version="1.0" encoding="utf-8"?>
<sst xmlns="http://schemas.openxmlformats.org/spreadsheetml/2006/main" count="13385" uniqueCount="597">
  <si>
    <t>Employee Number</t>
  </si>
  <si>
    <t>Job Classification</t>
  </si>
  <si>
    <t>Payroll Name Selection</t>
  </si>
  <si>
    <t>Michael</t>
  </si>
  <si>
    <t>Fullman</t>
  </si>
  <si>
    <t>Matthew</t>
  </si>
  <si>
    <t>Clark</t>
  </si>
  <si>
    <t>Lionel</t>
  </si>
  <si>
    <t>Rowston</t>
  </si>
  <si>
    <t>Chaseling</t>
  </si>
  <si>
    <t>ECW1 - Apprentice</t>
  </si>
  <si>
    <t>Pay Element</t>
  </si>
  <si>
    <t>Cost Centre</t>
  </si>
  <si>
    <t>Overtime Meal Allowance</t>
  </si>
  <si>
    <t>Overtime Productivity Allowance</t>
  </si>
  <si>
    <t xml:space="preserve">Matthew </t>
  </si>
  <si>
    <t>Classification</t>
  </si>
  <si>
    <t>Unit</t>
  </si>
  <si>
    <t>NT</t>
  </si>
  <si>
    <t>OT</t>
  </si>
  <si>
    <t>PH</t>
  </si>
  <si>
    <t>NT Shift</t>
  </si>
  <si>
    <t>Site Allowance</t>
  </si>
  <si>
    <t>First Aid L2</t>
  </si>
  <si>
    <t>First Aid L3</t>
  </si>
  <si>
    <t>Travel &amp; Fares Allowance</t>
  </si>
  <si>
    <t>ECW1</t>
  </si>
  <si>
    <t>ECW2</t>
  </si>
  <si>
    <t>ECW3</t>
  </si>
  <si>
    <t>ECW4</t>
  </si>
  <si>
    <t>ECW5</t>
  </si>
  <si>
    <t>ECW6</t>
  </si>
  <si>
    <t>ECW7</t>
  </si>
  <si>
    <t>3rd Year Apprentice</t>
  </si>
  <si>
    <t>4th Year Apprentice</t>
  </si>
  <si>
    <t>Hour</t>
  </si>
  <si>
    <t>Name</t>
  </si>
  <si>
    <t>Surname</t>
  </si>
  <si>
    <t>Serviced</t>
  </si>
  <si>
    <t>Cost Rate</t>
  </si>
  <si>
    <t>Cost Amount</t>
  </si>
  <si>
    <t>Amount</t>
  </si>
  <si>
    <t>Rate</t>
  </si>
  <si>
    <t>Client</t>
  </si>
  <si>
    <t>Location</t>
  </si>
  <si>
    <t>CYP</t>
  </si>
  <si>
    <t>Description</t>
  </si>
  <si>
    <t>Employee Category</t>
  </si>
  <si>
    <t>Work State</t>
  </si>
  <si>
    <t>Payslip No.</t>
  </si>
  <si>
    <t>Transaction Type</t>
  </si>
  <si>
    <t>Payment Type</t>
  </si>
  <si>
    <t>Gross</t>
  </si>
  <si>
    <t>Taxable Income</t>
  </si>
  <si>
    <t>Total Tax</t>
  </si>
  <si>
    <t>Part Time</t>
  </si>
  <si>
    <t>Victoria</t>
  </si>
  <si>
    <t>1</t>
  </si>
  <si>
    <t>Manual Pay</t>
  </si>
  <si>
    <t>EFT</t>
  </si>
  <si>
    <t/>
  </si>
  <si>
    <t>Site Allowance - VIC (Qty)</t>
  </si>
  <si>
    <t>Site Allowance - VIC ($)</t>
  </si>
  <si>
    <t>Pay Element - Copy</t>
  </si>
  <si>
    <t xml:space="preserve">Michael </t>
  </si>
  <si>
    <t>Margin</t>
  </si>
  <si>
    <t>Markup</t>
  </si>
  <si>
    <t>RDO Bank</t>
  </si>
  <si>
    <t>RDO Taken</t>
  </si>
  <si>
    <t>Tool Allowance</t>
  </si>
  <si>
    <t>TW5 - Operator</t>
  </si>
  <si>
    <t>TW4 - Labourer</t>
  </si>
  <si>
    <t>Annual Leave</t>
  </si>
  <si>
    <t>Public Holiday</t>
  </si>
  <si>
    <t>Personal Leave</t>
  </si>
  <si>
    <t>TW5 - Fitter</t>
  </si>
  <si>
    <t>Full Time</t>
  </si>
  <si>
    <t>Kel</t>
  </si>
  <si>
    <t>Gillespie</t>
  </si>
  <si>
    <t>Terminations</t>
  </si>
  <si>
    <t>Adjustments</t>
  </si>
  <si>
    <t>Rodney</t>
  </si>
  <si>
    <t>Grogan</t>
  </si>
  <si>
    <t>Joze</t>
  </si>
  <si>
    <t>Okmazic</t>
  </si>
  <si>
    <t>Sinclair</t>
  </si>
  <si>
    <t>Shane</t>
  </si>
  <si>
    <t>Filippe</t>
  </si>
  <si>
    <t>Overtime Productivity Allowance-VIC (Qty)</t>
  </si>
  <si>
    <t>Overtime Productivity Allowance-VIC ($)</t>
  </si>
  <si>
    <t>8</t>
  </si>
  <si>
    <t>ECW1 - Apprentice-RTF</t>
  </si>
  <si>
    <t>TW3 - Labourer</t>
  </si>
  <si>
    <t>ECW3 - RTF</t>
  </si>
  <si>
    <t>ECW1 - RTF</t>
  </si>
  <si>
    <t>ECW2 - RTF</t>
  </si>
  <si>
    <t>ECW4 - RTF</t>
  </si>
  <si>
    <t>ECW5 - RTF</t>
  </si>
  <si>
    <t>ECW6 - RTF</t>
  </si>
  <si>
    <t>ECW7 - RTF</t>
  </si>
  <si>
    <t>Surname - Copy</t>
  </si>
  <si>
    <t>David</t>
  </si>
  <si>
    <t>Banks</t>
  </si>
  <si>
    <t>Ross</t>
  </si>
  <si>
    <t>Vernon</t>
  </si>
  <si>
    <t>Cameron</t>
  </si>
  <si>
    <t>McLean</t>
  </si>
  <si>
    <t>Mitchell</t>
  </si>
  <si>
    <t>Farr</t>
  </si>
  <si>
    <t>Daniel</t>
  </si>
  <si>
    <t>Oliver</t>
  </si>
  <si>
    <t>Price</t>
  </si>
  <si>
    <t>Austunnel(VIC) - Weekly</t>
  </si>
  <si>
    <t>Moore</t>
  </si>
  <si>
    <t>John</t>
  </si>
  <si>
    <t>Frost</t>
  </si>
  <si>
    <t>Driver</t>
  </si>
  <si>
    <t>Net</t>
  </si>
  <si>
    <t>SG Contribution</t>
  </si>
  <si>
    <t>Severance (Protect)</t>
  </si>
  <si>
    <t>Income Protection (WAGEGUARD)</t>
  </si>
  <si>
    <t>200</t>
  </si>
  <si>
    <t>Samual</t>
  </si>
  <si>
    <t>Downie</t>
  </si>
  <si>
    <t>Normal Hourly (Qty)</t>
  </si>
  <si>
    <t>Normal Hourly ($)</t>
  </si>
  <si>
    <t>Overtime 2.0 (Qty)</t>
  </si>
  <si>
    <t>Overtime 2.0 ($)</t>
  </si>
  <si>
    <t>RDO Bank (Qty)</t>
  </si>
  <si>
    <t>RDO Bank ($)</t>
  </si>
  <si>
    <t>Overtime 1.8 (Qty)</t>
  </si>
  <si>
    <t>Overtime 1.8 ($)</t>
  </si>
  <si>
    <t>WGT-NOR</t>
  </si>
  <si>
    <t>4</t>
  </si>
  <si>
    <t xml:space="preserve">Lionel </t>
  </si>
  <si>
    <t>32</t>
  </si>
  <si>
    <t xml:space="preserve">Rodney </t>
  </si>
  <si>
    <t>Column1</t>
  </si>
  <si>
    <t>WGT</t>
  </si>
  <si>
    <t>NOR</t>
  </si>
  <si>
    <t>TW5 - Fitter-WGT-Travel &amp; Fares Allowance-Lionel -Rowston</t>
  </si>
  <si>
    <t>Dylan</t>
  </si>
  <si>
    <t>Beasley</t>
  </si>
  <si>
    <t>Andrew</t>
  </si>
  <si>
    <t>Zotti</t>
  </si>
  <si>
    <t>Enzo</t>
  </si>
  <si>
    <t>Albano</t>
  </si>
  <si>
    <t>Ricky</t>
  </si>
  <si>
    <t>Butterworth</t>
  </si>
  <si>
    <t>Mark</t>
  </si>
  <si>
    <t>Hoban</t>
  </si>
  <si>
    <t>Robinson</t>
  </si>
  <si>
    <t>Dean</t>
  </si>
  <si>
    <t>Lavars</t>
  </si>
  <si>
    <t>File</t>
  </si>
  <si>
    <t>Clay</t>
  </si>
  <si>
    <t>Johnson</t>
  </si>
  <si>
    <t>Macleod</t>
  </si>
  <si>
    <t>Brandon</t>
  </si>
  <si>
    <t>Mackie</t>
  </si>
  <si>
    <t>Scott</t>
  </si>
  <si>
    <t>Surkitt</t>
  </si>
  <si>
    <t>Timothy</t>
  </si>
  <si>
    <t>Night Shift 200% (Qty)</t>
  </si>
  <si>
    <t>Night Shift 200% ($)</t>
  </si>
  <si>
    <t>Nightshift 1.8 (Qty)</t>
  </si>
  <si>
    <t>Nightshift 1.8 ($)</t>
  </si>
  <si>
    <t>6</t>
  </si>
  <si>
    <t>CYP-CBD</t>
  </si>
  <si>
    <t>16</t>
  </si>
  <si>
    <t xml:space="preserve">Scott </t>
  </si>
  <si>
    <t>Superannuation Salary Sacrifice $</t>
  </si>
  <si>
    <t>CBD</t>
  </si>
  <si>
    <t>Ivica</t>
  </si>
  <si>
    <t>Laus</t>
  </si>
  <si>
    <t>TW2 - Labourer</t>
  </si>
  <si>
    <t xml:space="preserve">Oliver </t>
  </si>
  <si>
    <t>Andre</t>
  </si>
  <si>
    <t>Wilson</t>
  </si>
  <si>
    <t>Storm</t>
  </si>
  <si>
    <t>Victor</t>
  </si>
  <si>
    <t>Steven</t>
  </si>
  <si>
    <t>Attridge</t>
  </si>
  <si>
    <t>Fisher</t>
  </si>
  <si>
    <t>Kendall</t>
  </si>
  <si>
    <t>Perkins</t>
  </si>
  <si>
    <t>Seears</t>
  </si>
  <si>
    <t>Nijel</t>
  </si>
  <si>
    <t>Trezise</t>
  </si>
  <si>
    <t>Odering</t>
  </si>
  <si>
    <t>Katoa</t>
  </si>
  <si>
    <t>48</t>
  </si>
  <si>
    <t>RDO Worked</t>
  </si>
  <si>
    <t>Ballam</t>
  </si>
  <si>
    <t>487.2</t>
  </si>
  <si>
    <t>TW5 - Fitter-WGT-OT-Rodney-Grogan</t>
  </si>
  <si>
    <t>TW5 - Fitter-WGT-Overtime Meal Allowance-Rodney -Grogan</t>
  </si>
  <si>
    <t>TW5 - Fitter-WGT-Site Allowance-Rodney -Grogan</t>
  </si>
  <si>
    <t>TW5 - Fitter-WGT-Travel &amp; Fares Allowance-Rodney -Grogan</t>
  </si>
  <si>
    <t>Luke</t>
  </si>
  <si>
    <t>TW5 - Labourer</t>
  </si>
  <si>
    <t>Alessandro</t>
  </si>
  <si>
    <t>Sorrentino</t>
  </si>
  <si>
    <t>Paul</t>
  </si>
  <si>
    <t>Naughton</t>
  </si>
  <si>
    <t>72</t>
  </si>
  <si>
    <t>Snoxell</t>
  </si>
  <si>
    <t>Waugh</t>
  </si>
  <si>
    <t>Daye</t>
  </si>
  <si>
    <t>Kadri</t>
  </si>
  <si>
    <t>Beha</t>
  </si>
  <si>
    <t>TW2 - HBM</t>
  </si>
  <si>
    <t>TW1 - HBM</t>
  </si>
  <si>
    <t>TW3 - HBM</t>
  </si>
  <si>
    <t>TW4 - HBM</t>
  </si>
  <si>
    <t>TW5 - HBM</t>
  </si>
  <si>
    <t>TW6 - HBM</t>
  </si>
  <si>
    <t>Christensen</t>
  </si>
  <si>
    <t>Glenn</t>
  </si>
  <si>
    <t>Martin</t>
  </si>
  <si>
    <t>HBM-HBM</t>
  </si>
  <si>
    <t>HBM</t>
  </si>
  <si>
    <t>TW5-HBM-OT-Michael-Christensen</t>
  </si>
  <si>
    <t>TW5-HBM-Overtime Meal Allowance-Michael -Christensen</t>
  </si>
  <si>
    <t>TW5-HBM-Site Allowance-Michael -Christensen</t>
  </si>
  <si>
    <t>TW5-HBM-Travel &amp; Fares Allowance-Michael -Christensen</t>
  </si>
  <si>
    <t xml:space="preserve">Clay </t>
  </si>
  <si>
    <t>ECW3-CYP-OT-Clay-Johnson</t>
  </si>
  <si>
    <t>ECW3-CYP-Overtime Productivity Allowance-Clay -Johnson</t>
  </si>
  <si>
    <t>ECW3-CYP-Site Allowance-Clay -Johnson</t>
  </si>
  <si>
    <t>ECW3-CYP-Travel &amp; Fares Allowance-Clay -Johnson</t>
  </si>
  <si>
    <t>Leading Hand (up to 5 Reports)</t>
  </si>
  <si>
    <t>_1</t>
  </si>
  <si>
    <t>-3.2</t>
  </si>
  <si>
    <t>40</t>
  </si>
  <si>
    <t>TW5 - Fitter-WGT-OT-Michael-Odering</t>
  </si>
  <si>
    <t>TW5 - Fitter-WGT-Overtime Meal Allowance-Michael -Odering</t>
  </si>
  <si>
    <t>TW5 - Fitter-WGT-Site Allowance-Michael -Odering</t>
  </si>
  <si>
    <t>TW5 - Fitter-WGT-Travel &amp; Fares Allowance-Michael -Odering</t>
  </si>
  <si>
    <t>3</t>
  </si>
  <si>
    <t>AMWU - Meal Allowance (Meal)</t>
  </si>
  <si>
    <t>AMWU - Meal Allowance ($)</t>
  </si>
  <si>
    <t>AMWU - Travel &amp; Fares (Travel)</t>
  </si>
  <si>
    <t>AMWU - Travel &amp; Fares ($)</t>
  </si>
  <si>
    <t>Child Support</t>
  </si>
  <si>
    <t>WE 9.07.23</t>
  </si>
  <si>
    <t>Employee No.</t>
  </si>
  <si>
    <t>Given Names</t>
  </si>
  <si>
    <t>Last Name</t>
  </si>
  <si>
    <t>Period End Date</t>
  </si>
  <si>
    <t>First Name</t>
  </si>
  <si>
    <t xml:space="preserve">Enzo </t>
  </si>
  <si>
    <t>Sum</t>
  </si>
  <si>
    <t>Difference</t>
  </si>
  <si>
    <t>TW5 - Fitter-WGT-OT-Oliver-Price</t>
  </si>
  <si>
    <t>TW5 - Fitter-WGT-Overtime Meal Allowance-Oliver -Price</t>
  </si>
  <si>
    <t>TW5 - Fitter-WGT-Site Allowance-Oliver -Price</t>
  </si>
  <si>
    <t>TW5 - Fitter-WGT-Travel &amp; Fares Allowance-Oliver -Price</t>
  </si>
  <si>
    <t>TW5-HBM-OT-Enzo-Albano</t>
  </si>
  <si>
    <t>TW5-HBM-Overtime Meal Allowance-Enzo -Albano</t>
  </si>
  <si>
    <t>TW5-HBM-Site Allowance-Enzo -Albano</t>
  </si>
  <si>
    <t>TW5-HBM-Travel &amp; Fares Allowance-Enzo -Albano</t>
  </si>
  <si>
    <t>AWU - Travel Allowance (Travel)</t>
  </si>
  <si>
    <t>AWU - Travel Allowance ($)</t>
  </si>
  <si>
    <t>CYP-ARD</t>
  </si>
  <si>
    <t>CYP-DOM</t>
  </si>
  <si>
    <t xml:space="preserve">Steven </t>
  </si>
  <si>
    <t>ARD</t>
  </si>
  <si>
    <t>DOM</t>
  </si>
  <si>
    <t xml:space="preserve">Kel </t>
  </si>
  <si>
    <t>Extra Tax %</t>
  </si>
  <si>
    <t>ECW3-CYP-NT-Steven-Attridge</t>
  </si>
  <si>
    <t>ECW3-CYP-OT-Steven-Attridge</t>
  </si>
  <si>
    <t>ECW3-CYP-Overtime Productivity Allowance-Steven -Attridge</t>
  </si>
  <si>
    <t>ECW3-CYP-Site Allowance-Steven -Attridge</t>
  </si>
  <si>
    <t>ECW3-CYP-Travel &amp; Fares Allowance-Steven -Attridge</t>
  </si>
  <si>
    <t>ECW3-CYP-NT-Kel-Gillespie</t>
  </si>
  <si>
    <t>ECW3-CYP-OT-Kel-Gillespie</t>
  </si>
  <si>
    <t>ECW3-CYP-Overtime Productivity Allowance-Kel -Gillespie</t>
  </si>
  <si>
    <t>ECW3-CYP-Site Allowance-Kel -Gillespie</t>
  </si>
  <si>
    <t>ECW3-CYP-Travel &amp; Fares Allowance-Kel -Gillespie</t>
  </si>
  <si>
    <t>Winston</t>
  </si>
  <si>
    <t>Ogle</t>
  </si>
  <si>
    <t xml:space="preserve">Mark </t>
  </si>
  <si>
    <t xml:space="preserve">Winston </t>
  </si>
  <si>
    <t>TW5-HBM-OT-Winston-Ogle</t>
  </si>
  <si>
    <t>TW5-HBM-Overtime Meal Allowance-Winston -Ogle</t>
  </si>
  <si>
    <t>TW5-HBM-Site Allowance-Winston -Ogle</t>
  </si>
  <si>
    <t>TW5-HBM-Travel &amp; Fares Allowance-Winston -Ogle</t>
  </si>
  <si>
    <t>ECW3-CYP-OT-Mark-Hoban</t>
  </si>
  <si>
    <t>ECW3-CYP-Overtime Productivity Allowance-Mark -Hoban</t>
  </si>
  <si>
    <t>ECW3-CYP-Site Allowance-Mark -Hoban</t>
  </si>
  <si>
    <t>ECW3-CYP-Travel &amp; Fares Allowance-Mark -Hoban</t>
  </si>
  <si>
    <t>Young</t>
  </si>
  <si>
    <t>4608.58</t>
  </si>
  <si>
    <t>-256.03</t>
  </si>
  <si>
    <t>2560.32</t>
  </si>
  <si>
    <t>2304.29</t>
  </si>
  <si>
    <t xml:space="preserve">Timothy </t>
  </si>
  <si>
    <t>AWU - Overtime Meal Allowance (Meal)</t>
  </si>
  <si>
    <t>AWU - Overtime Meal Allowance ($)</t>
  </si>
  <si>
    <t>AWU - Severance (Protect)</t>
  </si>
  <si>
    <t>AWU - Mental Health Levy</t>
  </si>
  <si>
    <t>184.32</t>
  </si>
  <si>
    <t>170</t>
  </si>
  <si>
    <t>122.88</t>
  </si>
  <si>
    <t>211.6</t>
  </si>
  <si>
    <t>218.4</t>
  </si>
  <si>
    <t>Leading Hand (2-5 Reports)</t>
  </si>
  <si>
    <t>ECW3-CYP-OT-Timothy-Young</t>
  </si>
  <si>
    <t>ECW3-CYP-Overtime Productivity Allowance-Timothy -Young</t>
  </si>
  <si>
    <t>ECW3-CYP-Site Allowance-Timothy -Young</t>
  </si>
  <si>
    <t>ECW3-CYP-Travel &amp; Fares Allowance-Timothy -Young</t>
  </si>
  <si>
    <t>ECW3-CYP-Overtime Meal Allowance-Mark -Hoban</t>
  </si>
  <si>
    <t>ECW3-CYP-Overtime Meal Allowance-Clay -Johnson</t>
  </si>
  <si>
    <t>ECW3-CYP-Overtime Meal Allowance-Timothy -Young</t>
  </si>
  <si>
    <t>ECW3-CYP-Overtime Meal Allowance-Steven -Attridge</t>
  </si>
  <si>
    <t>ECW3-CYP-Overtime Meal Allowance-Kel -Gillespie</t>
  </si>
  <si>
    <t>5430.26</t>
  </si>
  <si>
    <t>_2</t>
  </si>
  <si>
    <t>ECW1 - Apprentice-RTF-CYP-OT-Matthew-Chaseling</t>
  </si>
  <si>
    <t>ECW1 - Apprentice-RTF-CYP-Overtime Meal Allowance-Matthew -Chaseling</t>
  </si>
  <si>
    <t>ECW1 - Apprentice-RTF-CYP-Site Allowance-Matthew -Chaseling</t>
  </si>
  <si>
    <t>ECW1 - Apprentice-RTF-CYP-Travel &amp; Fares Allowance-Matthew -Chaseling</t>
  </si>
  <si>
    <t>Lachlan</t>
  </si>
  <si>
    <t>Sturgess</t>
  </si>
  <si>
    <t>2700.8</t>
  </si>
  <si>
    <t>675.2</t>
  </si>
  <si>
    <t>-270.08</t>
  </si>
  <si>
    <t xml:space="preserve">Ricky </t>
  </si>
  <si>
    <t>39.68</t>
  </si>
  <si>
    <t>144.36</t>
  </si>
  <si>
    <t>5401.6</t>
  </si>
  <si>
    <t xml:space="preserve">Ivica </t>
  </si>
  <si>
    <t>150</t>
  </si>
  <si>
    <t>369.6</t>
  </si>
  <si>
    <t>ECW3-CYP-NT-Ivica-Laus</t>
  </si>
  <si>
    <t>ECW3-CYP-OT-Ivica-Laus</t>
  </si>
  <si>
    <t>ECW3-CYP-Overtime Meal Allowance-Ivica -Laus</t>
  </si>
  <si>
    <t>ECW3-CYP-Overtime Productivity Allowance-Ivica -Laus</t>
  </si>
  <si>
    <t>ECW3-CYP-Site Allowance-Ivica -Laus</t>
  </si>
  <si>
    <t>ECW3-CYP-Travel &amp; Fares Allowance-Ivica -Laus</t>
  </si>
  <si>
    <t>ECW3-CYP-NT-Ricky-Butterworth</t>
  </si>
  <si>
    <t>ECW3-CYP-OT-Ricky-Butterworth</t>
  </si>
  <si>
    <t>ECW3-CYP-Overtime Meal Allowance-Ricky -Butterworth</t>
  </si>
  <si>
    <t>ECW3-CYP-Overtime Productivity Allowance-Ricky -Butterworth</t>
  </si>
  <si>
    <t>ECW3-CYP-Site Allowance-Ricky -Butterworth</t>
  </si>
  <si>
    <t>ECW3-CYP-Travel &amp; Fares Allowance-Ricky -Butterworth</t>
  </si>
  <si>
    <t>Sykes</t>
  </si>
  <si>
    <t>317.4</t>
  </si>
  <si>
    <t>108.27</t>
  </si>
  <si>
    <t>730.8</t>
  </si>
  <si>
    <t>ECW3-CYP-OT-Scott-Sykes</t>
  </si>
  <si>
    <t>ECW3-CYP-Overtime Meal Allowance-Scott -Sykes</t>
  </si>
  <si>
    <t>ECW3-CYP-Overtime Productivity Allowance-Scott -Sykes</t>
  </si>
  <si>
    <t>ECW3-CYP-Site Allowance-Scott -Sykes</t>
  </si>
  <si>
    <t>ECW3-CYP-Travel &amp; Fares Allowance-Scott -Sykes</t>
  </si>
  <si>
    <t>Christopher</t>
  </si>
  <si>
    <t>Littler</t>
  </si>
  <si>
    <t>Lloyd</t>
  </si>
  <si>
    <t>Hazelman</t>
  </si>
  <si>
    <t>Tree</t>
  </si>
  <si>
    <t>14</t>
  </si>
  <si>
    <t>HR</t>
  </si>
  <si>
    <t>Admin</t>
  </si>
  <si>
    <t>TW5 - WSA</t>
  </si>
  <si>
    <t>RDO Taken (Qty)</t>
  </si>
  <si>
    <t>RDO Taken ($)</t>
  </si>
  <si>
    <t>-186.82</t>
  </si>
  <si>
    <t xml:space="preserve">Lloyd </t>
  </si>
  <si>
    <t>12</t>
  </si>
  <si>
    <t xml:space="preserve">Christopher </t>
  </si>
  <si>
    <t>24</t>
  </si>
  <si>
    <t>4051.2</t>
  </si>
  <si>
    <t>2363.2</t>
  </si>
  <si>
    <t>34.72</t>
  </si>
  <si>
    <t>100</t>
  </si>
  <si>
    <t>ECW3-CYP-NT-Lloyd-Hazelman</t>
  </si>
  <si>
    <t>ECW3-CYP-OT-Lloyd-Hazelman</t>
  </si>
  <si>
    <t>ECW3-CYP-Overtime Meal Allowance-Lloyd -Hazelman</t>
  </si>
  <si>
    <t>ECW3-CYP-Overtime Productivity Allowance-Lloyd -Hazelman</t>
  </si>
  <si>
    <t>ECW3-CYP-Site Allowance-Lloyd -Hazelman</t>
  </si>
  <si>
    <t>ECW3-CYP-Travel &amp; Fares Allowance-Lloyd -Hazelman</t>
  </si>
  <si>
    <t>ECW3-CYP-NT-Christopher-Littler</t>
  </si>
  <si>
    <t>ECW3-CYP-Site Allowance-Christopher -Littler</t>
  </si>
  <si>
    <t>ECW3-CYP-Travel &amp; Fares Allowance-Christopher -Littler</t>
  </si>
  <si>
    <t>31.5</t>
  </si>
  <si>
    <t>2658.6</t>
  </si>
  <si>
    <t>-3.15</t>
  </si>
  <si>
    <t>-265.86</t>
  </si>
  <si>
    <t>1868.16</t>
  </si>
  <si>
    <t xml:space="preserve">Lachlan </t>
  </si>
  <si>
    <t>WAB-PSD</t>
  </si>
  <si>
    <t xml:space="preserve">Andre </t>
  </si>
  <si>
    <t>288.85</t>
  </si>
  <si>
    <t>327.61</t>
  </si>
  <si>
    <t>307.06</t>
  </si>
  <si>
    <t>36</t>
  </si>
  <si>
    <t>46</t>
  </si>
  <si>
    <t>354.2</t>
  </si>
  <si>
    <t>_3</t>
  </si>
  <si>
    <t>_4</t>
  </si>
  <si>
    <t>WAB</t>
  </si>
  <si>
    <t>PSD</t>
  </si>
  <si>
    <t>TW5 - Fitter-WGT-NT Shift-Rodney-Grogan</t>
  </si>
  <si>
    <t>TW5-HBM-NT Shift-Michael-Christensen</t>
  </si>
  <si>
    <t>ECW4-WAB-NT-Andre-Wilson</t>
  </si>
  <si>
    <t>ECW4-WAB-Site Allowance-Andre -Wilson</t>
  </si>
  <si>
    <t>ECW4-WAB-Travel &amp; Fares Allowance-Andre -Wilson</t>
  </si>
  <si>
    <t>ECW1 - Apprentice-RTF-CYP-NT-Matthew-Chaseling</t>
  </si>
  <si>
    <t>ECW3-CYP-NT-Mark-Hoban</t>
  </si>
  <si>
    <t>ECW3-CYP-NT-Lachlan-Sturgess</t>
  </si>
  <si>
    <t>ECW3-CYP-OT-Lachlan-Sturgess</t>
  </si>
  <si>
    <t>ECW3-CYP-Overtime Meal Allowance-Lachlan -Sturgess</t>
  </si>
  <si>
    <t>ECW3-CYP-Overtime Productivity Allowance-Lachlan -Sturgess</t>
  </si>
  <si>
    <t>ECW3-CYP-Site Allowance-Lachlan -Sturgess</t>
  </si>
  <si>
    <t>ECW3-CYP-Travel &amp; Fares Allowance-Lachlan -Sturgess</t>
  </si>
  <si>
    <t>ECW3-CYP-NT Shift-Scott-Sykes</t>
  </si>
  <si>
    <t>Annual Leave (Qty)</t>
  </si>
  <si>
    <t>Annual Leave ($)</t>
  </si>
  <si>
    <t>Annual Leave Loading (Qty)</t>
  </si>
  <si>
    <t>Annual Leave Loading ($)</t>
  </si>
  <si>
    <t>Rain Work 1.0 (Qty)</t>
  </si>
  <si>
    <t>Rain Work 1.0 ($)</t>
  </si>
  <si>
    <t>-4</t>
  </si>
  <si>
    <t>-320.04</t>
  </si>
  <si>
    <t>5760.72</t>
  </si>
  <si>
    <t>960.12</t>
  </si>
  <si>
    <t>9</t>
  </si>
  <si>
    <t>1519.2</t>
  </si>
  <si>
    <t>22.32</t>
  </si>
  <si>
    <t>5</t>
  </si>
  <si>
    <t>275</t>
  </si>
  <si>
    <t>180.45</t>
  </si>
  <si>
    <t>330</t>
  </si>
  <si>
    <t>12.5</t>
  </si>
  <si>
    <t>1459.5</t>
  </si>
  <si>
    <t>1.8</t>
  </si>
  <si>
    <t>105.08</t>
  </si>
  <si>
    <t>18.39</t>
  </si>
  <si>
    <t>350.28</t>
  </si>
  <si>
    <t>640.08</t>
  </si>
  <si>
    <t>1152.14</t>
  </si>
  <si>
    <t>4.5</t>
  </si>
  <si>
    <t>759.6</t>
  </si>
  <si>
    <t>506.4</t>
  </si>
  <si>
    <t>11.16</t>
  </si>
  <si>
    <t>14.5</t>
  </si>
  <si>
    <t>2447.6</t>
  </si>
  <si>
    <t>35.96</t>
  </si>
  <si>
    <t>17.5</t>
  </si>
  <si>
    <t>2954</t>
  </si>
  <si>
    <t>43.4</t>
  </si>
  <si>
    <t>13</t>
  </si>
  <si>
    <t>2194.4</t>
  </si>
  <si>
    <t>32.24</t>
  </si>
  <si>
    <t>19.5</t>
  </si>
  <si>
    <t>1560.2</t>
  </si>
  <si>
    <t>59.52</t>
  </si>
  <si>
    <t>216.54</t>
  </si>
  <si>
    <t>706.8</t>
  </si>
  <si>
    <t>-0.8</t>
  </si>
  <si>
    <t>-70.68</t>
  </si>
  <si>
    <t>55</t>
  </si>
  <si>
    <t>7</t>
  </si>
  <si>
    <t>590.8</t>
  </si>
  <si>
    <t>11838.71</t>
  </si>
  <si>
    <t>11638.71</t>
  </si>
  <si>
    <t>4907</t>
  </si>
  <si>
    <t>6731.71</t>
  </si>
  <si>
    <t>740.13</t>
  </si>
  <si>
    <t>67</t>
  </si>
  <si>
    <t>5382.5</t>
  </si>
  <si>
    <t>2033</t>
  </si>
  <si>
    <t>3349.5</t>
  </si>
  <si>
    <t>376.38</t>
  </si>
  <si>
    <t>41</t>
  </si>
  <si>
    <t>315.7</t>
  </si>
  <si>
    <t>6326.66</t>
  </si>
  <si>
    <t>6176.66</t>
  </si>
  <si>
    <t>2340</t>
  </si>
  <si>
    <t>3836.66</t>
  </si>
  <si>
    <t>376.01</t>
  </si>
  <si>
    <t>45.5</t>
  </si>
  <si>
    <t>350.35</t>
  </si>
  <si>
    <t>4376.6</t>
  </si>
  <si>
    <t>1494</t>
  </si>
  <si>
    <t>2882.6</t>
  </si>
  <si>
    <t>272.73</t>
  </si>
  <si>
    <t>44.5</t>
  </si>
  <si>
    <t>342.65</t>
  </si>
  <si>
    <t>264.5</t>
  </si>
  <si>
    <t>7326.62</t>
  </si>
  <si>
    <t>2880</t>
  </si>
  <si>
    <t>4157.77</t>
  </si>
  <si>
    <t>636.58</t>
  </si>
  <si>
    <t>4330.37</t>
  </si>
  <si>
    <t>1637</t>
  </si>
  <si>
    <t>2693.37</t>
  </si>
  <si>
    <t>349.4</t>
  </si>
  <si>
    <t>277.2</t>
  </si>
  <si>
    <t>7595.42</t>
  </si>
  <si>
    <t>3171</t>
  </si>
  <si>
    <t>4424.42</t>
  </si>
  <si>
    <t>666.15</t>
  </si>
  <si>
    <t>5727.78</t>
  </si>
  <si>
    <t>5627.78</t>
  </si>
  <si>
    <t>2246</t>
  </si>
  <si>
    <t>3381.78</t>
  </si>
  <si>
    <t>306.76</t>
  </si>
  <si>
    <t>46.5</t>
  </si>
  <si>
    <t>358.05</t>
  </si>
  <si>
    <t>6108.6</t>
  </si>
  <si>
    <t>5908.6</t>
  </si>
  <si>
    <t>2214</t>
  </si>
  <si>
    <t>3694.6</t>
  </si>
  <si>
    <t>362.05</t>
  </si>
  <si>
    <t>9336.16</t>
  </si>
  <si>
    <t>3989</t>
  </si>
  <si>
    <t>5347.16</t>
  </si>
  <si>
    <t>679.4</t>
  </si>
  <si>
    <t>6994.92</t>
  </si>
  <si>
    <t>6794.92</t>
  </si>
  <si>
    <t>2630</t>
  </si>
  <si>
    <t>4164.92</t>
  </si>
  <si>
    <t>383.58</t>
  </si>
  <si>
    <t>49.5</t>
  </si>
  <si>
    <t>381.15</t>
  </si>
  <si>
    <t>5929.62</t>
  </si>
  <si>
    <t>2224</t>
  </si>
  <si>
    <t>3705.62</t>
  </si>
  <si>
    <t>361.2</t>
  </si>
  <si>
    <t>45</t>
  </si>
  <si>
    <t>346.5</t>
  </si>
  <si>
    <t>370.3</t>
  </si>
  <si>
    <t>11974.76</t>
  </si>
  <si>
    <t>11774.76</t>
  </si>
  <si>
    <t>4971</t>
  </si>
  <si>
    <t>6803.76</t>
  </si>
  <si>
    <t>749.27</t>
  </si>
  <si>
    <t>7414.64</t>
  </si>
  <si>
    <t>2922</t>
  </si>
  <si>
    <t>4492.64</t>
  </si>
  <si>
    <t>519.53</t>
  </si>
  <si>
    <t>1765</t>
  </si>
  <si>
    <t>3665.26</t>
  </si>
  <si>
    <t>8194.38</t>
  </si>
  <si>
    <t>3453</t>
  </si>
  <si>
    <t>4741.38</t>
  </si>
  <si>
    <t>389.08</t>
  </si>
  <si>
    <t>56</t>
  </si>
  <si>
    <t>431.2</t>
  </si>
  <si>
    <t>3825</t>
  </si>
  <si>
    <t>5511.16</t>
  </si>
  <si>
    <t>8109.98</t>
  </si>
  <si>
    <t>3413</t>
  </si>
  <si>
    <t>4696.98</t>
  </si>
  <si>
    <t>379.8</t>
  </si>
  <si>
    <t>AWU Chifley Insurance</t>
  </si>
  <si>
    <t>38.08</t>
  </si>
  <si>
    <t>139.95</t>
  </si>
  <si>
    <t>164.49</t>
  </si>
  <si>
    <t>113.79</t>
  </si>
  <si>
    <t>112.59</t>
  </si>
  <si>
    <t>148.92</t>
  </si>
  <si>
    <t>158.82</t>
  </si>
  <si>
    <t>242.74</t>
  </si>
  <si>
    <t>181.87</t>
  </si>
  <si>
    <t>154.17</t>
  </si>
  <si>
    <t>692.98</t>
  </si>
  <si>
    <t>77</t>
  </si>
  <si>
    <t>615.98</t>
  </si>
  <si>
    <t>70.41</t>
  </si>
  <si>
    <t>213.05</t>
  </si>
  <si>
    <t>752.72</t>
  </si>
  <si>
    <t>90</t>
  </si>
  <si>
    <t>662.72</t>
  </si>
  <si>
    <t>76.75</t>
  </si>
  <si>
    <t>19.57</t>
  </si>
  <si>
    <t>61.6</t>
  </si>
  <si>
    <t>210.86</t>
  </si>
  <si>
    <t>52.9</t>
  </si>
  <si>
    <t>TW5 - Fitter-WGT-NT-Rodney-Grogan</t>
  </si>
  <si>
    <t>TW5 - Fitter-WGT-NT Shift-Michael-Odering</t>
  </si>
  <si>
    <t>TW5 - Fitter-WGT-NT-Oliver-Price</t>
  </si>
  <si>
    <t>TW5-HBM-NT Shift-Enzo-Albano</t>
  </si>
  <si>
    <t>TW5-HBM-NT-Michael-Christensen</t>
  </si>
  <si>
    <t>TW5-HBM-NT-Winston-Ogle</t>
  </si>
  <si>
    <t>ECW3-CYP-NT Shift-Clay-Johnson</t>
  </si>
  <si>
    <t>ECW3-CYP-OT-Christopher-Littler</t>
  </si>
  <si>
    <t>ECW3-CYP-Overtime Meal Allowance-Christopher -Littler</t>
  </si>
  <si>
    <t>ECW3-CYP-Overtime Productivity Allowance-Christopher -Littler</t>
  </si>
  <si>
    <t>ECW3-CYP-NT-Timothy-Young</t>
  </si>
  <si>
    <t>Rain Work 1.0</t>
  </si>
  <si>
    <t>TW5-HBM-Rain Work 1.0-Enzo-Albano</t>
  </si>
  <si>
    <t>TW5-HBM-Rain Work 1.0-Winston-Ogle</t>
  </si>
  <si>
    <t>RDO Taken + No RDO Payout Adjustment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</si>
</sst>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.0_-;\-* #,##0.0_-;_-* &quot;-&quot;??_-;_-@_-"/>
    <numFmt numFmtId="165" formatCode="0.0%"/>
    <numFmt numFmtId="166" formatCode="dd\.mm\.yy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6600"/>
      <name val="Calibri"/>
      <family val="2"/>
    </font>
    <font>
      <sz val="11"/>
      <color rgb="FF008000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7">
    <xf numFmtId="0" fontId="0" fillId="0" borderId="0" xfId="0"/>
    <xf numFmtId="43" fontId="0" fillId="0" borderId="0" xfId="1" applyFont="1"/>
    <xf numFmtId="14" fontId="0" fillId="0" borderId="0" xfId="0" applyNumberFormat="1"/>
    <xf numFmtId="43" fontId="0" fillId="0" borderId="0" xfId="0" applyNumberFormat="1"/>
    <xf numFmtId="164" fontId="0" fillId="0" borderId="0" xfId="1" applyNumberFormat="1" applyFont="1"/>
    <xf numFmtId="0" fontId="0" fillId="0" borderId="0" xfId="1" applyNumberFormat="1" applyFont="1"/>
    <xf numFmtId="14" fontId="0" fillId="0" borderId="0" xfId="1" applyNumberFormat="1" applyFont="1"/>
    <xf numFmtId="165" fontId="3" fillId="0" borderId="0" xfId="2" applyNumberFormat="1" applyFont="1"/>
    <xf numFmtId="0" fontId="3" fillId="0" borderId="0" xfId="0" applyFont="1"/>
    <xf numFmtId="0" fontId="0" fillId="0" borderId="2" xfId="0" applyBorder="1"/>
    <xf numFmtId="40" fontId="0" fillId="0" borderId="3" xfId="0" applyNumberFormat="1" applyBorder="1"/>
    <xf numFmtId="0" fontId="0" fillId="0" borderId="4" xfId="0" applyBorder="1"/>
    <xf numFmtId="40" fontId="0" fillId="0" borderId="5" xfId="0" applyNumberFormat="1" applyBorder="1"/>
    <xf numFmtId="0" fontId="0" fillId="0" borderId="6" xfId="0" applyBorder="1"/>
    <xf numFmtId="0" fontId="0" fillId="0" borderId="7" xfId="0" applyBorder="1"/>
    <xf numFmtId="40" fontId="0" fillId="0" borderId="8" xfId="0" applyNumberFormat="1" applyBorder="1"/>
    <xf numFmtId="40" fontId="3" fillId="2" borderId="9" xfId="0" applyNumberFormat="1" applyFont="1" applyFill="1" applyBorder="1"/>
    <xf numFmtId="40" fontId="4" fillId="3" borderId="0" xfId="0" applyNumberFormat="1" applyFont="1" applyFill="1"/>
    <xf numFmtId="0" fontId="0" fillId="0" borderId="1" xfId="0" applyBorder="1"/>
    <xf numFmtId="40" fontId="0" fillId="0" borderId="0" xfId="0" applyNumberFormat="1"/>
    <xf numFmtId="4" fontId="0" fillId="0" borderId="10" xfId="0" applyNumberFormat="1" applyBorder="1"/>
    <xf numFmtId="4" fontId="0" fillId="0" borderId="3" xfId="0" applyNumberFormat="1" applyBorder="1"/>
    <xf numFmtId="4" fontId="5" fillId="0" borderId="5" xfId="0" applyNumberFormat="1" applyFont="1" applyBorder="1"/>
    <xf numFmtId="4" fontId="0" fillId="0" borderId="5" xfId="0" applyNumberFormat="1" applyBorder="1"/>
    <xf numFmtId="166" fontId="0" fillId="0" borderId="1" xfId="0" applyNumberFormat="1" applyBorder="1"/>
    <xf numFmtId="0" fontId="0" fillId="0" borderId="0" xfId="0" applyAlignment="1">
      <alignment wrapText="1"/>
    </xf>
    <xf numFmtId="0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273"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.0_-;\-* #,##0.0_-;_-* &quot;-&quot;??_-;_-@_-"/>
    </dxf>
    <dxf>
      <numFmt numFmtId="19" formatCode="d/mm/yyyy"/>
    </dxf>
    <dxf>
      <numFmt numFmtId="19" formatCode="d/mm/yyyy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240</xdr:row>
          <xdr:rowOff>0</xdr:rowOff>
        </xdr:from>
        <xdr:to>
          <xdr:col>10</xdr:col>
          <xdr:colOff>638175</xdr:colOff>
          <xdr:row>242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FF6600"/>
                  </a:solidFill>
                  <a:latin typeface="Calibri"/>
                  <a:ea typeface="Calibri"/>
                  <a:cs typeface="Calibri"/>
                </a:rPr>
                <a:t>CLICK ME FOR RECONCILIATION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239</xdr:row>
          <xdr:rowOff>180975</xdr:rowOff>
        </xdr:from>
        <xdr:to>
          <xdr:col>7</xdr:col>
          <xdr:colOff>0</xdr:colOff>
          <xdr:row>242</xdr:row>
          <xdr:rowOff>19050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B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CLICK ME FOR REFRESHING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243</xdr:row>
          <xdr:rowOff>9525</xdr:rowOff>
        </xdr:from>
        <xdr:to>
          <xdr:col>7</xdr:col>
          <xdr:colOff>0</xdr:colOff>
          <xdr:row>245</xdr:row>
          <xdr:rowOff>9525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B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ME FOR INVOICE DRAFTING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242</xdr:row>
          <xdr:rowOff>180975</xdr:rowOff>
        </xdr:from>
        <xdr:to>
          <xdr:col>10</xdr:col>
          <xdr:colOff>638175</xdr:colOff>
          <xdr:row>245</xdr:row>
          <xdr:rowOff>9525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B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CLICK ME FOR IMBALANCE CHECKING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ABC8EC12-1243-432A-9D56-615A1C5505DF}" autoFormatId="16" applyNumberFormats="0" applyBorderFormats="0" applyFontFormats="0" applyPatternFormats="0" applyAlignmentFormats="0" applyWidthHeightFormats="0">
  <queryTableRefresh nextId="17">
    <queryTableFields count="14">
      <queryTableField id="13" name="Job Classification" tableColumnId="1"/>
      <queryTableField id="2" name="Unit" tableColumnId="2"/>
      <queryTableField id="3" name="NT" tableColumnId="3"/>
      <queryTableField id="4" name="NT Shift" tableColumnId="4"/>
      <queryTableField id="5" name="OT" tableColumnId="5"/>
      <queryTableField id="6" name="PH" tableColumnId="6"/>
      <queryTableField id="7" name="Site Allowance" tableColumnId="7"/>
      <queryTableField id="8" name="Overtime Meal Allowance" tableColumnId="8"/>
      <queryTableField id="9" name="First Aid L2" tableColumnId="9"/>
      <queryTableField id="10" name="First Aid L3" tableColumnId="10"/>
      <queryTableField id="11" name="Travel &amp; Fares Allowance" tableColumnId="11"/>
      <queryTableField id="12" name="Overtime Productivity Allowance" tableColumnId="12"/>
      <queryTableField id="15" name="Tool Allowance" tableColumnId="13"/>
      <queryTableField id="16" name="Leading Hand (up to 5 Reports)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43F336C6-6834-4F74-BA0C-36AC6E027998}" autoFormatId="16" applyNumberFormats="0" applyBorderFormats="0" applyFontFormats="0" applyPatternFormats="0" applyAlignmentFormats="0" applyWidthHeightFormats="0">
  <queryTableRefresh nextId="15">
    <queryTableFields count="5">
      <queryTableField id="5" name="Payroll Name Selection" tableColumnId="5"/>
      <queryTableField id="1" name="Employee Number" tableColumnId="1"/>
      <queryTableField id="11" name="First Name" tableColumnId="2"/>
      <queryTableField id="12" name="Last Name" tableColumnId="3"/>
      <queryTableField id="4" name="Job Classification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8" xr16:uid="{CB887A2D-5614-4D94-B6F4-F184190793F4}" autoFormatId="16" applyNumberFormats="0" applyBorderFormats="0" applyFontFormats="0" applyPatternFormats="0" applyAlignmentFormats="0" applyWidthHeightFormats="0">
  <queryTableRefresh nextId="1240">
    <queryTableFields count="1">
      <queryTableField id="1239" name="Leading Hand (2-5 Reports)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5" xr16:uid="{B0BBD2B9-C15B-4E60-B25F-397748D6978C}" autoFormatId="16" applyNumberFormats="0" applyBorderFormats="0" applyFontFormats="0" applyPatternFormats="0" applyAlignmentFormats="0" applyWidthHeightFormats="0">
  <queryTableRefresh nextId="1563">
    <queryTableFields count="40">
      <queryTableField id="221" name="Employee Number" tableColumnId="39"/>
      <queryTableField id="222" name="Name" tableColumnId="40"/>
      <queryTableField id="223" name="Surname" tableColumnId="41"/>
      <queryTableField id="228" name="Pay Element" tableColumnId="46"/>
      <queryTableField id="427" name="Unit" tableColumnId="34"/>
      <queryTableField id="440" name="Cost Rate" tableColumnId="37"/>
      <queryTableField id="429" name="Cost Amount" tableColumnId="36"/>
      <queryTableField id="225" name="Serviced" tableColumnId="43"/>
      <queryTableField id="224" name="Cost Centre" tableColumnId="42"/>
      <queryTableField id="241" name="Employee Category" tableColumnId="1"/>
      <queryTableField id="1072" name="Normal Hourly (Qty)" tableColumnId="16"/>
      <queryTableField id="1073" name="Normal Hourly ($)" tableColumnId="17"/>
      <queryTableField id="1074" name="Overtime 2.0 (Qty)" tableColumnId="25"/>
      <queryTableField id="1075" name="Overtime 2.0 ($)" tableColumnId="26"/>
      <queryTableField id="1551" name="Annual Leave (Qty)" tableColumnId="6"/>
      <queryTableField id="1552" name="Annual Leave ($)" tableColumnId="7"/>
      <queryTableField id="1553" name="Annual Leave Loading (Qty)" tableColumnId="8"/>
      <queryTableField id="1554" name="Annual Leave Loading ($)" tableColumnId="9"/>
      <queryTableField id="1519" name="RDO Taken (Qty)" tableColumnId="12"/>
      <queryTableField id="1520" name="RDO Taken ($)" tableColumnId="20"/>
      <queryTableField id="1088" name="RDO Bank (Qty)" tableColumnId="14"/>
      <queryTableField id="1089" name="RDO Bank ($)" tableColumnId="15"/>
      <queryTableField id="1114" name="Night Shift 200% (Qty)" tableColumnId="10"/>
      <queryTableField id="1115" name="Night Shift 200% ($)" tableColumnId="11"/>
      <queryTableField id="242" name="Work State" tableColumnId="2"/>
      <queryTableField id="243" name="Payslip No." tableColumnId="3"/>
      <queryTableField id="1090" name="Overtime 1.8 (Qty)" tableColumnId="18"/>
      <queryTableField id="1091" name="Overtime 1.8 ($)" tableColumnId="19"/>
      <queryTableField id="1116" name="Nightshift 1.8 (Qty)" tableColumnId="22"/>
      <queryTableField id="1117" name="Nightshift 1.8 ($)" tableColumnId="23"/>
      <queryTableField id="1555" name="Rain Work 1.0 (Qty)" tableColumnId="29"/>
      <queryTableField id="1556" name="Rain Work 1.0 ($)" tableColumnId="31"/>
      <queryTableField id="1282" name="Overtime Productivity Allowance-VIC (Qty)" tableColumnId="21"/>
      <queryTableField id="1283" name="Overtime Productivity Allowance-VIC ($)" tableColumnId="24"/>
      <queryTableField id="1453" name="AMWU - Meal Allowance (Meal)" tableColumnId="13"/>
      <queryTableField id="1454" name="AMWU - Meal Allowance ($)" tableColumnId="30"/>
      <queryTableField id="1539" name="AMWU - Travel &amp; Fares (Travel)" tableColumnId="27"/>
      <queryTableField id="1540" name="AMWU - Travel &amp; Fares ($)" tableColumnId="28"/>
      <queryTableField id="244" name="Transaction Type" tableColumnId="4"/>
      <queryTableField id="245" name="Payment Type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3D3A35D1-C408-44E4-AF72-563D911A01C2}" autoFormatId="16" applyNumberFormats="0" applyBorderFormats="0" applyFontFormats="0" applyPatternFormats="0" applyAlignmentFormats="0" applyWidthHeightFormats="0">
  <queryTableRefresh nextId="1316">
    <queryTableFields count="54">
      <queryTableField id="1" name="Employee Number" tableColumnId="1"/>
      <queryTableField id="2" name="Name" tableColumnId="2"/>
      <queryTableField id="3" name="Surname" tableColumnId="3"/>
      <queryTableField id="126" name="Pay Element" tableColumnId="10"/>
      <queryTableField id="127" name="Unit" tableColumnId="12"/>
      <queryTableField id="164" name="Cost Rate" tableColumnId="41"/>
      <queryTableField id="129" name="Cost Amount" tableColumnId="16"/>
      <queryTableField id="4" name="Serviced" tableColumnId="4"/>
      <queryTableField id="11" name="Cost Centre" tableColumnId="11"/>
      <queryTableField id="25" name="Employee Category" tableColumnId="5"/>
      <queryTableField id="767" name="Normal Hourly (Qty)" tableColumnId="20"/>
      <queryTableField id="768" name="Normal Hourly ($)" tableColumnId="21"/>
      <queryTableField id="769" name="Overtime 2.0 (Qty)" tableColumnId="22"/>
      <queryTableField id="770" name="Overtime 2.0 ($)" tableColumnId="23"/>
      <queryTableField id="1304" name="Annual Leave (Qty)" tableColumnId="7"/>
      <queryTableField id="1305" name="Annual Leave ($)" tableColumnId="9"/>
      <queryTableField id="1306" name="Annual Leave Loading (Qty)" tableColumnId="15"/>
      <queryTableField id="1307" name="Annual Leave Loading ($)" tableColumnId="17"/>
      <queryTableField id="1272" name="RDO Taken (Qty)" tableColumnId="26"/>
      <queryTableField id="1273" name="RDO Taken ($)" tableColumnId="31"/>
      <queryTableField id="771" name="RDO Bank (Qty)" tableColumnId="24"/>
      <queryTableField id="772" name="RDO Bank ($)" tableColumnId="25"/>
      <queryTableField id="811" name="Night Shift 200% (Qty)" tableColumnId="18"/>
      <queryTableField id="812" name="Night Shift 200% ($)" tableColumnId="19"/>
      <queryTableField id="26" name="Work State" tableColumnId="6"/>
      <queryTableField id="27" name="Payslip No." tableColumnId="8"/>
      <queryTableField id="775" name="Overtime 1.8 (Qty)" tableColumnId="37"/>
      <queryTableField id="776" name="Overtime 1.8 ($)" tableColumnId="38"/>
      <queryTableField id="813" name="Nightshift 1.8 (Qty)" tableColumnId="49"/>
      <queryTableField id="814" name="Nightshift 1.8 ($)" tableColumnId="50"/>
      <queryTableField id="1308" name="Rain Work 1.0 (Qty)" tableColumnId="39"/>
      <queryTableField id="1309" name="Rain Work 1.0 ($)" tableColumnId="43"/>
      <queryTableField id="563" name="Overtime Productivity Allowance-VIC (Qty)" tableColumnId="34"/>
      <queryTableField id="564" name="Overtime Productivity Allowance-VIC ($)" tableColumnId="35"/>
      <queryTableField id="1111" name="AMWU - Meal Allowance (Meal)" tableColumnId="27"/>
      <queryTableField id="1112" name="AMWU - Meal Allowance ($)" tableColumnId="28"/>
      <queryTableField id="1113" name="AMWU - Travel &amp; Fares (Travel)" tableColumnId="40"/>
      <queryTableField id="1114" name="AMWU - Travel &amp; Fares ($)" tableColumnId="48"/>
      <queryTableField id="1179" name="AWU - Travel Allowance (Travel)" tableColumnId="52"/>
      <queryTableField id="1180" name="AWU - Travel Allowance ($)" tableColumnId="54"/>
      <queryTableField id="1228" name="AWU - Overtime Meal Allowance (Meal)" tableColumnId="44"/>
      <queryTableField id="1229" name="AWU - Overtime Meal Allowance ($)" tableColumnId="45"/>
      <queryTableField id="817" name="Superannuation Salary Sacrifice $" tableColumnId="53"/>
      <queryTableField id="1115" name="Child Support" tableColumnId="51"/>
      <queryTableField id="1189" name="Extra Tax %" tableColumnId="42"/>
      <queryTableField id="986" name="Gross" tableColumnId="46"/>
      <queryTableField id="987" name="Taxable Income" tableColumnId="47"/>
      <queryTableField id="1238" name="Total Tax" tableColumnId="29"/>
      <queryTableField id="1292" name="Net" tableColumnId="32"/>
      <queryTableField id="1293" name="SG Contribution" tableColumnId="36"/>
      <queryTableField id="28" name="Transaction Type" tableColumnId="13"/>
      <queryTableField id="29" name="Payment Type" tableColumnId="14"/>
      <queryTableField id="138" name="Site Allowance - VIC (Qty)" tableColumnId="30"/>
      <queryTableField id="139" name="Site Allowance - VIC ($)" tableColumnId="3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6" xr16:uid="{FC141917-48D7-476B-ABE7-3D5C47769841}" autoFormatId="16" applyNumberFormats="0" applyBorderFormats="0" applyFontFormats="0" applyPatternFormats="0" applyAlignmentFormats="0" applyWidthHeightFormats="0">
  <queryTableRefresh nextId="1370">
    <queryTableFields count="64">
      <queryTableField id="1" name="Employee Number" tableColumnId="1"/>
      <queryTableField id="2" name="Name" tableColumnId="2"/>
      <queryTableField id="3" name="Surname" tableColumnId="3"/>
      <queryTableField id="5" name="Pay Element" tableColumnId="5"/>
      <queryTableField id="6" name="Unit" tableColumnId="6"/>
      <queryTableField id="16" name="Cost Rate" tableColumnId="10"/>
      <queryTableField id="17" name="Cost Amount" tableColumnId="11"/>
      <queryTableField id="4" name="Serviced" tableColumnId="4"/>
      <queryTableField id="9" name="Cost Centre" tableColumnId="9"/>
      <queryTableField id="31" name="Employee Category" tableColumnId="17"/>
      <queryTableField id="803" name="Normal Hourly (Qty)" tableColumnId="16"/>
      <queryTableField id="804" name="Normal Hourly ($)" tableColumnId="22"/>
      <queryTableField id="805" name="Overtime 2.0 (Qty)" tableColumnId="23"/>
      <queryTableField id="806" name="Overtime 2.0 ($)" tableColumnId="24"/>
      <queryTableField id="1352" name="Annual Leave (Qty)" tableColumnId="7"/>
      <queryTableField id="1353" name="Annual Leave ($)" tableColumnId="8"/>
      <queryTableField id="1354" name="Annual Leave Loading (Qty)" tableColumnId="12"/>
      <queryTableField id="1355" name="Annual Leave Loading ($)" tableColumnId="13"/>
      <queryTableField id="1320" name="RDO Taken (Qty)" tableColumnId="26"/>
      <queryTableField id="1321" name="RDO Taken ($)" tableColumnId="35"/>
      <queryTableField id="807" name="RDO Bank (Qty)" tableColumnId="25"/>
      <queryTableField id="808" name="RDO Bank ($)" tableColumnId="27"/>
      <queryTableField id="823" name="Night Shift 200% (Qty)" tableColumnId="14"/>
      <queryTableField id="824" name="Night Shift 200% ($)" tableColumnId="15"/>
      <queryTableField id="32" name="Work State" tableColumnId="18"/>
      <queryTableField id="33" name="Payslip No." tableColumnId="19"/>
      <queryTableField id="811" name="Overtime 1.8 (Qty)" tableColumnId="33"/>
      <queryTableField id="812" name="Overtime 1.8 ($)" tableColumnId="34"/>
      <queryTableField id="825" name="Nightshift 1.8 (Qty)" tableColumnId="43"/>
      <queryTableField id="826" name="Nightshift 1.8 ($)" tableColumnId="44"/>
      <queryTableField id="1356" name="Rain Work 1.0 (Qty)" tableColumnId="41"/>
      <queryTableField id="1357" name="Rain Work 1.0 ($)" tableColumnId="42"/>
      <queryTableField id="601" name="Overtime Productivity Allowance-VIC (Qty)" tableColumnId="36"/>
      <queryTableField id="602" name="Overtime Productivity Allowance-VIC ($)" tableColumnId="37"/>
      <queryTableField id="1155" name="AMWU - Meal Allowance (Meal)" tableColumnId="28"/>
      <queryTableField id="1156" name="AMWU - Meal Allowance ($)" tableColumnId="29"/>
      <queryTableField id="1157" name="AMWU - Travel &amp; Fares (Travel)" tableColumnId="38"/>
      <queryTableField id="1158" name="AMWU - Travel &amp; Fares ($)" tableColumnId="62"/>
      <queryTableField id="1223" name="AWU - Travel Allowance (Travel)" tableColumnId="50"/>
      <queryTableField id="1224" name="AWU - Travel Allowance ($)" tableColumnId="64"/>
      <queryTableField id="1272" name="AWU - Overtime Meal Allowance (Meal)" tableColumnId="45"/>
      <queryTableField id="1273" name="AWU - Overtime Meal Allowance ($)" tableColumnId="47"/>
      <queryTableField id="831" name="Superannuation Salary Sacrifice $" tableColumnId="49"/>
      <queryTableField id="1159" name="Child Support" tableColumnId="63"/>
      <queryTableField id="1233" name="Extra Tax %" tableColumnId="48"/>
      <queryTableField id="833" name="Gross" tableColumnId="51"/>
      <queryTableField id="834" name="Taxable Income" tableColumnId="52"/>
      <queryTableField id="835" name="Total Tax" tableColumnId="53"/>
      <queryTableField id="836" name="Net" tableColumnId="54"/>
      <queryTableField id="837" name="SG Contribution" tableColumnId="55"/>
      <queryTableField id="839" name="Severance (Protect)" tableColumnId="57"/>
      <queryTableField id="840" name="Income Protection (WAGEGUARD)" tableColumnId="58"/>
      <queryTableField id="1274" name="AWU - Severance (Protect)" tableColumnId="56"/>
      <queryTableField id="1275" name="AWU - Mental Health Levy" tableColumnId="61"/>
      <queryTableField id="1368" name="AWU Chifley Insurance" tableColumnId="65"/>
      <queryTableField id="842" name="Column1" tableColumnId="60"/>
      <queryTableField id="1030" name="_1" tableColumnId="46"/>
      <queryTableField id="1286" name="_2" tableColumnId="32"/>
      <queryTableField id="1340" name="_3" tableColumnId="39"/>
      <queryTableField id="1341" name="_4" tableColumnId="40"/>
      <queryTableField id="34" name="Transaction Type" tableColumnId="20"/>
      <queryTableField id="35" name="Payment Type" tableColumnId="21"/>
      <queryTableField id="168" name="Site Allowance - VIC (Qty)" tableColumnId="30"/>
      <queryTableField id="169" name="Site Allowance - VIC ($)" tableColumnId="3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3" xr16:uid="{34748D6A-C834-48DF-B22F-030F5FECA6D2}" autoFormatId="16" applyNumberFormats="0" applyBorderFormats="0" applyFontFormats="0" applyPatternFormats="0" applyAlignmentFormats="0" applyWidthHeightFormats="0">
  <queryTableRefresh nextId="532">
    <queryTableFields count="60">
      <queryTableField id="1" name="Employee Number" tableColumnId="1"/>
      <queryTableField id="2" name="Name" tableColumnId="2"/>
      <queryTableField id="3" name="Surname" tableColumnId="3"/>
      <queryTableField id="4" name="Pay Element" tableColumnId="4"/>
      <queryTableField id="10" name="Employee Category" tableColumnId="10"/>
      <queryTableField id="9" name="Cost Centre" tableColumnId="9"/>
      <queryTableField id="27" name="Work State" tableColumnId="27"/>
      <queryTableField id="28" name="Payslip No." tableColumnId="28"/>
      <queryTableField id="33" name="Transaction Type" tableColumnId="33"/>
      <queryTableField id="8" name="Serviced" tableColumnId="8"/>
      <queryTableField id="11" name="Normal Hourly (Qty)" tableColumnId="11"/>
      <queryTableField id="12" name="Normal Hourly ($)" tableColumnId="12"/>
      <queryTableField id="13" name="Overtime 2.0 (Qty)" tableColumnId="13"/>
      <queryTableField id="14" name="Overtime 2.0 ($)" tableColumnId="14"/>
      <queryTableField id="514" name="Annual Leave (Qty)" tableColumnId="5"/>
      <queryTableField id="515" name="Annual Leave ($)" tableColumnId="6"/>
      <queryTableField id="516" name="Annual Leave Loading (Qty)" tableColumnId="7"/>
      <queryTableField id="517" name="Annual Leave Loading ($)" tableColumnId="15"/>
      <queryTableField id="482" name="RDO Taken (Qty)" tableColumnId="16"/>
      <queryTableField id="483" name="RDO Taken ($)" tableColumnId="20"/>
      <queryTableField id="21" name="RDO Bank (Qty)" tableColumnId="21"/>
      <queryTableField id="22" name="RDO Bank ($)" tableColumnId="22"/>
      <queryTableField id="25" name="Night Shift 200% (Qty)" tableColumnId="25"/>
      <queryTableField id="26" name="Night Shift 200% ($)" tableColumnId="26"/>
      <queryTableField id="34" name="Payment Type" tableColumnId="34"/>
      <queryTableField id="56" name="Site Allowance - VIC (Qty)" tableColumnId="56"/>
      <queryTableField id="29" name="Overtime 1.8 (Qty)" tableColumnId="29"/>
      <queryTableField id="30" name="Overtime 1.8 ($)" tableColumnId="30"/>
      <queryTableField id="31" name="Nightshift 1.8 (Qty)" tableColumnId="31"/>
      <queryTableField id="32" name="Nightshift 1.8 ($)" tableColumnId="32"/>
      <queryTableField id="518" name="Rain Work 1.0 (Qty)" tableColumnId="39"/>
      <queryTableField id="519" name="Rain Work 1.0 ($)" tableColumnId="40"/>
      <queryTableField id="35" name="Overtime Productivity Allowance-VIC (Qty)" tableColumnId="35"/>
      <queryTableField id="36" name="Overtime Productivity Allowance-VIC ($)" tableColumnId="36"/>
      <queryTableField id="345" name="AMWU - Meal Allowance (Meal)" tableColumnId="17"/>
      <queryTableField id="346" name="AMWU - Meal Allowance ($)" tableColumnId="23"/>
      <queryTableField id="347" name="AMWU - Travel &amp; Fares (Travel)" tableColumnId="24"/>
      <queryTableField id="348" name="AMWU - Travel &amp; Fares ($)" tableColumnId="58"/>
      <queryTableField id="385" name="AWU - Travel Allowance (Travel)" tableColumnId="46"/>
      <queryTableField id="386" name="AWU - Travel Allowance ($)" tableColumnId="60"/>
      <queryTableField id="434" name="AWU - Overtime Meal Allowance (Meal)" tableColumnId="41"/>
      <queryTableField id="435" name="AWU - Overtime Meal Allowance ($)" tableColumnId="42"/>
      <queryTableField id="45" name="Superannuation Salary Sacrifice $" tableColumnId="45"/>
      <queryTableField id="349" name="Child Support" tableColumnId="59"/>
      <queryTableField id="395" name="Extra Tax %" tableColumnId="44"/>
      <queryTableField id="47" name="Gross" tableColumnId="47"/>
      <queryTableField id="48" name="Taxable Income" tableColumnId="48"/>
      <queryTableField id="49" name="Total Tax" tableColumnId="49"/>
      <queryTableField id="50" name="Net" tableColumnId="50"/>
      <queryTableField id="51" name="SG Contribution" tableColumnId="51"/>
      <queryTableField id="53" name="Severance (Protect)" tableColumnId="53"/>
      <queryTableField id="54" name="Income Protection (WAGEGUARD)" tableColumnId="54"/>
      <queryTableField id="436" name="AWU - Severance (Protect)" tableColumnId="43"/>
      <queryTableField id="437" name="AWU - Mental Health Levy" tableColumnId="52"/>
      <queryTableField id="530" name="AWU Chifley Insurance" tableColumnId="61"/>
      <queryTableField id="220" name="_1" tableColumnId="19"/>
      <queryTableField id="448" name="_2" tableColumnId="18"/>
      <queryTableField id="502" name="_3" tableColumnId="37"/>
      <queryTableField id="503" name="_4" tableColumnId="38"/>
      <queryTableField id="57" name="Site Allowance - VIC ($)" tableColumnId="57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0" xr16:uid="{0D4CF1F8-5EF7-4001-A7D0-C823881FB8BE}" autoFormatId="16" applyNumberFormats="0" applyBorderFormats="0" applyFontFormats="0" applyPatternFormats="0" applyAlignmentFormats="0" applyWidthHeightFormats="0">
  <queryTableRefresh nextId="1308">
    <queryTableFields count="44">
      <queryTableField id="234" name="Employee Number" tableColumnId="4"/>
      <queryTableField id="235" name="Name" tableColumnId="10"/>
      <queryTableField id="236" name="Surname" tableColumnId="11"/>
      <queryTableField id="42" name="Pay Element" tableColumnId="42"/>
      <queryTableField id="197" name="Unit" tableColumnId="8"/>
      <queryTableField id="55" name="Cost Rate" tableColumnId="3"/>
      <queryTableField id="198" name="Cost Amount" tableColumnId="9"/>
      <queryTableField id="199" name="Serviced" tableColumnId="12"/>
      <queryTableField id="43" name="Cost Centre" tableColumnId="43"/>
      <queryTableField id="59" name="Employee Category" tableColumnId="1"/>
      <queryTableField id="815" name="Normal Hourly (Qty)" tableColumnId="21"/>
      <queryTableField id="816" name="Normal Hourly ($)" tableColumnId="22"/>
      <queryTableField id="817" name="Overtime 2.0 (Qty)" tableColumnId="30"/>
      <queryTableField id="818" name="Overtime 2.0 ($)" tableColumnId="33"/>
      <queryTableField id="1296" name="Annual Leave (Qty)" tableColumnId="13"/>
      <queryTableField id="1297" name="Annual Leave ($)" tableColumnId="14"/>
      <queryTableField id="1298" name="Annual Leave Loading (Qty)" tableColumnId="15"/>
      <queryTableField id="1299" name="Annual Leave Loading ($)" tableColumnId="16"/>
      <queryTableField id="1264" name="RDO Taken (Qty)" tableColumnId="29"/>
      <queryTableField id="1265" name="RDO Taken ($)" tableColumnId="37"/>
      <queryTableField id="831" name="RDO Bank (Qty)" tableColumnId="23"/>
      <queryTableField id="832" name="RDO Bank ($)" tableColumnId="24"/>
      <queryTableField id="851" name="Night Shift 200% (Qty)" tableColumnId="17"/>
      <queryTableField id="852" name="Night Shift 200% ($)" tableColumnId="18"/>
      <queryTableField id="60" name="Work State" tableColumnId="2"/>
      <queryTableField id="61" name="Payslip No." tableColumnId="5"/>
      <queryTableField id="833" name="Overtime 1.8 (Qty)" tableColumnId="25"/>
      <queryTableField id="834" name="Overtime 1.8 ($)" tableColumnId="28"/>
      <queryTableField id="853" name="Nightshift 1.8 (Qty)" tableColumnId="26"/>
      <queryTableField id="854" name="Nightshift 1.8 ($)" tableColumnId="27"/>
      <queryTableField id="1300" name="Rain Work 1.0 (Qty)" tableColumnId="41"/>
      <queryTableField id="1301" name="Rain Work 1.0 ($)" tableColumnId="44"/>
      <queryTableField id="62" name="Transaction Type" tableColumnId="6"/>
      <queryTableField id="63" name="Payment Type" tableColumnId="7"/>
      <queryTableField id="1147" name="AMWU - Meal Allowance (Meal)" tableColumnId="19"/>
      <queryTableField id="1148" name="AMWU - Meal Allowance ($)" tableColumnId="20"/>
      <queryTableField id="1149" name="AMWU - Travel &amp; Fares (Travel)" tableColumnId="39"/>
      <queryTableField id="1197" name="AMWU - Travel &amp; Fares ($)" tableColumnId="31"/>
      <queryTableField id="1198" name="AWU - Travel Allowance (Travel)" tableColumnId="35"/>
      <queryTableField id="1199" name="AWU - Travel Allowance ($)" tableColumnId="36"/>
      <queryTableField id="1284" name="AWU - Overtime Meal Allowance (Meal)" tableColumnId="38"/>
      <queryTableField id="1285" name="AWU - Overtime Meal Allowance ($)" tableColumnId="40"/>
      <queryTableField id="208" name="Site Allowance - VIC (Qty)" tableColumnId="32"/>
      <queryTableField id="209" name="Site Allowance - VIC ($)" tableColumnId="34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2" xr16:uid="{CF4E01D7-6D41-4124-9054-99E65144B5F5}" autoFormatId="16" applyNumberFormats="0" applyBorderFormats="0" applyFontFormats="0" applyPatternFormats="0" applyAlignmentFormats="0" applyWidthHeightFormats="0">
  <queryTableRefresh nextId="1507">
    <queryTableFields count="61">
      <queryTableField id="42" name="Employee Number" tableColumnId="42"/>
      <queryTableField id="43" name="Name" tableColumnId="43"/>
      <queryTableField id="44" name="Surname" tableColumnId="44"/>
      <queryTableField id="51" name="Employee Category" tableColumnId="51"/>
      <queryTableField id="45" name="Cost Centre" tableColumnId="45"/>
      <queryTableField id="50" name="Pay Element" tableColumnId="50"/>
      <queryTableField id="52" name="Work State" tableColumnId="52"/>
      <queryTableField id="53" name="Payslip No." tableColumnId="53"/>
      <queryTableField id="54" name="Transaction Type" tableColumnId="54"/>
      <queryTableField id="49" name="Serviced" tableColumnId="49"/>
      <queryTableField id="931" name="Normal Hourly (Qty)" tableColumnId="6"/>
      <queryTableField id="932" name="Normal Hourly ($)" tableColumnId="8"/>
      <queryTableField id="933" name="Overtime 2.0 (Qty)" tableColumnId="9"/>
      <queryTableField id="934" name="Overtime 2.0 ($)" tableColumnId="23"/>
      <queryTableField id="1489" name="Annual Leave (Qty)" tableColumnId="1"/>
      <queryTableField id="1490" name="Annual Leave ($)" tableColumnId="2"/>
      <queryTableField id="1491" name="Annual Leave Loading (Qty)" tableColumnId="3"/>
      <queryTableField id="1492" name="Annual Leave Loading ($)" tableColumnId="4"/>
      <queryTableField id="1457" name="RDO Taken (Qty)" tableColumnId="10"/>
      <queryTableField id="1458" name="RDO Taken ($)" tableColumnId="19"/>
      <queryTableField id="947" name="RDO Bank (Qty)" tableColumnId="12"/>
      <queryTableField id="948" name="RDO Bank ($)" tableColumnId="13"/>
      <queryTableField id="971" name="Night Shift 200% (Qty)" tableColumnId="5"/>
      <queryTableField id="972" name="Night Shift 200% ($)" tableColumnId="7"/>
      <queryTableField id="55" name="Payment Type" tableColumnId="55"/>
      <queryTableField id="422" name="Site Allowance - VIC (Qty)" tableColumnId="17"/>
      <queryTableField id="949" name="Overtime 1.8 (Qty)" tableColumnId="14"/>
      <queryTableField id="950" name="Overtime 1.8 ($)" tableColumnId="15"/>
      <queryTableField id="973" name="Nightshift 1.8 (Qty)" tableColumnId="32"/>
      <queryTableField id="974" name="Nightshift 1.8 ($)" tableColumnId="33"/>
      <queryTableField id="1493" name="Rain Work 1.0 (Qty)" tableColumnId="28"/>
      <queryTableField id="1494" name="Rain Work 1.0 ($)" tableColumnId="29"/>
      <queryTableField id="746" name="Overtime Productivity Allowance-VIC (Qty)" tableColumnId="21"/>
      <queryTableField id="747" name="Overtime Productivity Allowance-VIC ($)" tableColumnId="22"/>
      <queryTableField id="423" name="Site Allowance - VIC ($)" tableColumnId="18"/>
      <queryTableField id="1299" name="AMWU - Travel &amp; Fares (Travel)" tableColumnId="25"/>
      <queryTableField id="1300" name="AMWU - Travel &amp; Fares ($)" tableColumnId="59"/>
      <queryTableField id="1297" name="AMWU - Meal Allowance (Meal)" tableColumnId="11"/>
      <queryTableField id="1360" name="AWU - Travel Allowance (Travel)" tableColumnId="37"/>
      <queryTableField id="1361" name="AWU - Travel Allowance ($)" tableColumnId="61"/>
      <queryTableField id="1409" name="AWU - Overtime Meal Allowance (Meal)" tableColumnId="30"/>
      <queryTableField id="1410" name="AWU - Overtime Meal Allowance ($)" tableColumnId="34"/>
      <queryTableField id="977" name="Superannuation Salary Sacrifice $" tableColumnId="36"/>
      <queryTableField id="1301" name="Child Support" tableColumnId="60"/>
      <queryTableField id="1370" name="Extra Tax %" tableColumnId="27"/>
      <queryTableField id="967" name="Gross" tableColumnId="31"/>
      <queryTableField id="979" name="Taxable Income" tableColumnId="38"/>
      <queryTableField id="980" name="Total Tax" tableColumnId="39"/>
      <queryTableField id="981" name="Net" tableColumnId="40"/>
      <queryTableField id="982" name="SG Contribution" tableColumnId="41"/>
      <queryTableField id="984" name="Severance (Protect)" tableColumnId="47"/>
      <queryTableField id="985" name="Income Protection (WAGEGUARD)" tableColumnId="48"/>
      <queryTableField id="1411" name="AWU - Severance (Protect)" tableColumnId="46"/>
      <queryTableField id="1412" name="AWU - Mental Health Levy" tableColumnId="58"/>
      <queryTableField id="1505" name="AWU Chifley Insurance" tableColumnId="62"/>
      <queryTableField id="987" name="Column1" tableColumnId="57"/>
      <queryTableField id="1172" name="_1" tableColumnId="35"/>
      <queryTableField id="1423" name="_2" tableColumnId="16"/>
      <queryTableField id="1477" name="_3" tableColumnId="20"/>
      <queryTableField id="1478" name="_4" tableColumnId="26"/>
      <queryTableField id="1298" name="AMWU - Meal Allowance ($)" tableColumnId="24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1" xr16:uid="{7D25631C-070F-4A26-8D61-2B0FEC6953FC}" autoFormatId="16" applyNumberFormats="0" applyBorderFormats="0" applyFontFormats="0" applyPatternFormats="0" applyAlignmentFormats="0" applyWidthHeightFormats="0">
  <queryTableRefresh nextId="1029">
    <queryTableFields count="55">
      <queryTableField id="1" name="Employee No." tableColumnId="1"/>
      <queryTableField id="2" name="Given Names" tableColumnId="2"/>
      <queryTableField id="3" name="Last Name" tableColumnId="3"/>
      <queryTableField id="4" name="Employee Category" tableColumnId="4"/>
      <queryTableField id="5" name="Cost Centre" tableColumnId="5"/>
      <queryTableField id="6" name="Work State" tableColumnId="6"/>
      <queryTableField id="7" name="Payslip No." tableColumnId="7"/>
      <queryTableField id="8" name="Transaction Type" tableColumnId="8"/>
      <queryTableField id="9" name="Period End Date" tableColumnId="9"/>
      <queryTableField id="10" name="Payment Type" tableColumnId="10"/>
      <queryTableField id="11" name="Normal Hourly (Qty)" tableColumnId="11"/>
      <queryTableField id="12" name="Normal Hourly ($)" tableColumnId="12"/>
      <queryTableField id="13" name="Overtime 2.0 (Qty)" tableColumnId="13"/>
      <queryTableField id="14" name="Overtime 2.0 ($)" tableColumnId="14"/>
      <queryTableField id="1014" name="Annual Leave (Qty)" tableColumnId="17"/>
      <queryTableField id="1015" name="Annual Leave ($)" tableColumnId="18"/>
      <queryTableField id="1016" name="Annual Leave Loading (Qty)" tableColumnId="21"/>
      <queryTableField id="1017" name="Annual Leave Loading ($)" tableColumnId="22"/>
      <queryTableField id="990" name="RDO Taken (Qty)" tableColumnId="23"/>
      <queryTableField id="991" name="RDO Taken ($)" tableColumnId="24"/>
      <queryTableField id="15" name="RDO Bank (Qty)" tableColumnId="15"/>
      <queryTableField id="16" name="RDO Bank ($)" tableColumnId="16"/>
      <queryTableField id="769" name="Night Shift 200% (Qty)" tableColumnId="33"/>
      <queryTableField id="770" name="Night Shift 200% ($)" tableColumnId="34"/>
      <queryTableField id="242" name="Site Allowance - VIC (Qty)" tableColumnId="115"/>
      <queryTableField id="243" name="Site Allowance - VIC ($)" tableColumnId="116"/>
      <queryTableField id="244" name="Overtime 1.8 (Qty)" tableColumnId="117"/>
      <queryTableField id="245" name="Overtime 1.8 ($)" tableColumnId="118"/>
      <queryTableField id="773" name="Nightshift 1.8 (Qty)" tableColumnId="37"/>
      <queryTableField id="774" name="Nightshift 1.8 ($)" tableColumnId="38"/>
      <queryTableField id="1018" name="Rain Work 1.0 (Qty)" tableColumnId="25"/>
      <queryTableField id="1019" name="Rain Work 1.0 ($)" tableColumnId="26"/>
      <queryTableField id="250" name="Overtime Productivity Allowance-VIC (Qty)" tableColumnId="123"/>
      <queryTableField id="251" name="Overtime Productivity Allowance-VIC ($)" tableColumnId="124"/>
      <queryTableField id="901" name="AMWU - Meal Allowance (Meal)" tableColumnId="103"/>
      <queryTableField id="902" name="AMWU - Meal Allowance ($)" tableColumnId="104"/>
      <queryTableField id="903" name="AMWU - Travel &amp; Fares (Travel)" tableColumnId="105"/>
      <queryTableField id="904" name="AMWU - Travel &amp; Fares ($)" tableColumnId="106"/>
      <queryTableField id="929" name="AWU - Travel Allowance (Travel)" tableColumnId="19"/>
      <queryTableField id="930" name="AWU - Travel Allowance ($)" tableColumnId="20"/>
      <queryTableField id="972" name="AWU - Overtime Meal Allowance (Meal)" tableColumnId="31"/>
      <queryTableField id="973" name="AWU - Overtime Meal Allowance ($)" tableColumnId="32"/>
      <queryTableField id="775" name="Superannuation Salary Sacrifice $" tableColumnId="39"/>
      <queryTableField id="905" name="Child Support" tableColumnId="107"/>
      <queryTableField id="939" name="Extra Tax %" tableColumnId="27"/>
      <queryTableField id="46" name="Gross" tableColumnId="46"/>
      <queryTableField id="47" name="Taxable Income" tableColumnId="47"/>
      <queryTableField id="48" name="Total Tax" tableColumnId="48"/>
      <queryTableField id="49" name="Net" tableColumnId="49"/>
      <queryTableField id="50" name="SG Contribution" tableColumnId="50"/>
      <queryTableField id="263" name="Severance (Protect)" tableColumnId="136"/>
      <queryTableField id="264" name="Income Protection (WAGEGUARD)" tableColumnId="137"/>
      <queryTableField id="1020" name="AWU - Severance (Protect)" tableColumnId="28"/>
      <queryTableField id="1021" name="AWU - Mental Health Levy" tableColumnId="29"/>
      <queryTableField id="1028" name="AWU Chifley Insurance" tableColumnId="30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9BCB0F0D-C90B-4780-AF0B-04E76A579A74}" autoFormatId="16" applyNumberFormats="0" applyBorderFormats="0" applyFontFormats="0" applyPatternFormats="0" applyAlignmentFormats="0" applyWidthHeightFormats="0">
  <queryTableRefresh nextId="1825">
    <queryTableFields count="80">
      <queryTableField id="13" name="Employee Number" tableColumnId="13"/>
      <queryTableField id="14" name="Name" tableColumnId="14"/>
      <queryTableField id="15" name="Surname" tableColumnId="15"/>
      <queryTableField id="16" name="Pay Element" tableColumnId="16"/>
      <queryTableField id="34" name="Unit" tableColumnId="23"/>
      <queryTableField id="18" name="Cost Rate" tableColumnId="18"/>
      <queryTableField id="19" name="Cost Amount" tableColumnId="19"/>
      <queryTableField id="62" name="Rate" tableColumnId="17"/>
      <queryTableField id="63" name="Amount" tableColumnId="21"/>
      <queryTableField id="319" name="Margin" tableColumnId="64"/>
      <queryTableField id="1057" name="Normal Hourly (Qty)" tableColumnId="38"/>
      <queryTableField id="1058" name="Normal Hourly ($)" tableColumnId="42"/>
      <queryTableField id="1059" name="Overtime 2.0 (Qty)" tableColumnId="43"/>
      <queryTableField id="1060" name="Overtime 2.0 ($)" tableColumnId="50"/>
      <queryTableField id="1803" name="Annual Leave (Qty)" tableColumnId="29"/>
      <queryTableField id="1804" name="Annual Leave ($)" tableColumnId="30"/>
      <queryTableField id="1805" name="Annual Leave Loading (Qty)" tableColumnId="31"/>
      <queryTableField id="1806" name="Annual Leave Loading ($)" tableColumnId="32"/>
      <queryTableField id="1759" name="RDO Taken (Qty)" tableColumnId="40"/>
      <queryTableField id="1760" name="RDO Taken ($)" tableColumnId="45"/>
      <queryTableField id="1061" name="RDO Bank (Qty)" tableColumnId="65"/>
      <queryTableField id="1062" name="RDO Bank ($)" tableColumnId="66"/>
      <queryTableField id="1085" name="Night Shift 200% (Qty)" tableColumnId="33"/>
      <queryTableField id="1086" name="Night Shift 200% ($)" tableColumnId="34"/>
      <queryTableField id="70" name="Employee Category" tableColumnId="1"/>
      <queryTableField id="71" name="Work State" tableColumnId="20"/>
      <queryTableField id="1065" name="Overtime 1.8 (Qty)" tableColumnId="69"/>
      <queryTableField id="1066" name="Overtime 1.8 ($)" tableColumnId="70"/>
      <queryTableField id="1087" name="Nightshift 1.8 (Qty)" tableColumnId="73"/>
      <queryTableField id="1088" name="Nightshift 1.8 ($)" tableColumnId="74"/>
      <queryTableField id="1807" name="Rain Work 1.0 (Qty)" tableColumnId="58"/>
      <queryTableField id="1808" name="Rain Work 1.0 ($)" tableColumnId="60"/>
      <queryTableField id="817" name="Overtime Productivity Allowance-VIC (Qty)" tableColumnId="48"/>
      <queryTableField id="818" name="Overtime Productivity Allowance-VIC ($)" tableColumnId="49"/>
      <queryTableField id="1536" name="AMWU - Meal Allowance (Meal)" tableColumnId="59"/>
      <queryTableField id="1537" name="AMWU - Meal Allowance ($)" tableColumnId="61"/>
      <queryTableField id="1538" name="AMWU - Travel &amp; Fares (Travel)" tableColumnId="62"/>
      <queryTableField id="1539" name="AMWU - Travel &amp; Fares ($)" tableColumnId="75"/>
      <queryTableField id="72" name="Payslip No." tableColumnId="26"/>
      <queryTableField id="73" name="Transaction Type" tableColumnId="27"/>
      <queryTableField id="1613" name="AWU - Travel Allowance (Travel)" tableColumnId="46"/>
      <queryTableField id="1614" name="AWU - Travel Allowance ($)" tableColumnId="47"/>
      <queryTableField id="1679" name="AWU - Overtime Meal Allowance (Meal)" tableColumnId="63"/>
      <queryTableField id="1680" name="AWU - Overtime Meal Allowance ($)" tableColumnId="68"/>
      <queryTableField id="1091" name="Superannuation Salary Sacrifice $" tableColumnId="77"/>
      <queryTableField id="1540" name="Child Support" tableColumnId="76"/>
      <queryTableField id="1625" name="Extra Tax %" tableColumnId="79"/>
      <queryTableField id="74" name="Payment Type" tableColumnId="28"/>
      <queryTableField id="97" name="Gross" tableColumnId="51"/>
      <queryTableField id="98" name="Taxable Income" tableColumnId="52"/>
      <queryTableField id="1026" name="Net" tableColumnId="35"/>
      <queryTableField id="1027" name="SG Contribution" tableColumnId="36"/>
      <queryTableField id="99" name="Total Tax" tableColumnId="53"/>
      <queryTableField id="289" name="Site Allowance - VIC (Qty)" tableColumnId="55"/>
      <queryTableField id="1028" name="Severance (Protect)" tableColumnId="37"/>
      <queryTableField id="1029" name="Income Protection (WAGEGUARD)" tableColumnId="39"/>
      <queryTableField id="1681" name="AWU - Severance (Protect)" tableColumnId="71"/>
      <queryTableField id="1682" name="AWU - Mental Health Levy" tableColumnId="78"/>
      <queryTableField id="1823" name="AWU Chifley Insurance" tableColumnId="81"/>
      <queryTableField id="1341" name="_1" tableColumnId="67"/>
      <queryTableField id="1699" name="_2" tableColumnId="44"/>
      <queryTableField id="1783" name="_3" tableColumnId="54"/>
      <queryTableField id="1784" name="_4" tableColumnId="57"/>
      <queryTableField id="290" name="Site Allowance - VIC ($)" tableColumnId="56"/>
      <queryTableField id="30" name="Serviced" tableColumnId="22"/>
      <queryTableField id="66" name="Client" tableColumnId="24"/>
      <queryTableField id="67" name="Location" tableColumnId="25"/>
      <queryTableField id="51" name="Job Classification" tableColumnId="2"/>
      <queryTableField id="52" name="NT" tableColumnId="3"/>
      <queryTableField id="53" name="NT Shift" tableColumnId="4"/>
      <queryTableField id="54" name="OT" tableColumnId="5"/>
      <queryTableField id="55" name="PH" tableColumnId="6"/>
      <queryTableField id="56" name="Site Allowance" tableColumnId="7"/>
      <queryTableField id="57" name="Overtime Meal Allowance" tableColumnId="8"/>
      <queryTableField id="58" name="First Aid L2" tableColumnId="9"/>
      <queryTableField id="372" name="Tool Allowance" tableColumnId="41"/>
      <queryTableField id="1360" name="Leading Hand (up to 5 Reports)" tableColumnId="80"/>
      <queryTableField id="59" name="First Aid L3" tableColumnId="10"/>
      <queryTableField id="60" name="Travel &amp; Fares Allowance" tableColumnId="11"/>
      <queryTableField id="61" name="Overtime Productivity Allowance" tableColumnId="1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8" xr16:uid="{A67008B3-797E-46C5-A91C-287B8B4F12B5}" autoFormatId="16" applyNumberFormats="0" applyBorderFormats="0" applyFontFormats="0" applyPatternFormats="0" applyAlignmentFormats="0" applyWidthHeightFormats="0">
  <queryTableRefresh nextId="1378">
    <queryTableFields count="81">
      <queryTableField id="1" name="Employee Number" tableColumnId="1"/>
      <queryTableField id="2" name="Serviced" tableColumnId="2"/>
      <queryTableField id="3" name="Description" tableColumnId="3"/>
      <queryTableField id="4" name="Unit" tableColumnId="4"/>
      <queryTableField id="5" name="Rate" tableColumnId="5"/>
      <queryTableField id="6" name="Amount" tableColumnId="6"/>
      <queryTableField id="7" name="Client" tableColumnId="7"/>
      <queryTableField id="8" name="Pay Element" tableColumnId="8"/>
      <queryTableField id="9" name="Name" tableColumnId="9"/>
      <queryTableField id="10" name="Margin" tableColumnId="10"/>
      <queryTableField id="563" name="Normal Hourly (Qty)" tableColumnId="20"/>
      <queryTableField id="564" name="Normal Hourly ($)" tableColumnId="31"/>
      <queryTableField id="565" name="Overtime 2.0 (Qty)" tableColumnId="32"/>
      <queryTableField id="566" name="Overtime 2.0 ($)" tableColumnId="35"/>
      <queryTableField id="1355" name="Annual Leave (Qty)" tableColumnId="15"/>
      <queryTableField id="1356" name="Annual Leave ($)" tableColumnId="16"/>
      <queryTableField id="1357" name="Annual Leave Loading (Qty)" tableColumnId="18"/>
      <queryTableField id="1358" name="Annual Leave Loading ($)" tableColumnId="19"/>
      <queryTableField id="1302" name="RDO Taken (Qty)" tableColumnId="26"/>
      <queryTableField id="1303" name="RDO Taken ($)" tableColumnId="28"/>
      <queryTableField id="567" name="RDO Bank (Qty)" tableColumnId="66"/>
      <queryTableField id="568" name="RDO Bank ($)" tableColumnId="67"/>
      <queryTableField id="591" name="Night Shift 200% (Qty)" tableColumnId="21"/>
      <queryTableField id="592" name="Night Shift 200% ($)" tableColumnId="22"/>
      <queryTableField id="11" name="Employee Category" tableColumnId="11"/>
      <queryTableField id="12" name="Work State" tableColumnId="12"/>
      <queryTableField id="571" name="Overtime 1.8 (Qty)" tableColumnId="70"/>
      <queryTableField id="572" name="Overtime 1.8 ($)" tableColumnId="71"/>
      <queryTableField id="593" name="Nightshift 1.8 (Qty)" tableColumnId="47"/>
      <queryTableField id="594" name="Nightshift 1.8 ($)" tableColumnId="48"/>
      <queryTableField id="1359" name="Rain Work 1.0 (Qty)" tableColumnId="37"/>
      <queryTableField id="1360" name="Rain Work 1.0 ($)" tableColumnId="39"/>
      <queryTableField id="323" name="Overtime Productivity Allowance-VIC (Qty)" tableColumnId="36"/>
      <queryTableField id="324" name="Overtime Productivity Allowance-VIC ($)" tableColumnId="38"/>
      <queryTableField id="1042" name="AMWU - Meal Allowance (Meal)" tableColumnId="44"/>
      <queryTableField id="1043" name="AMWU - Meal Allowance ($)" tableColumnId="49"/>
      <queryTableField id="1044" name="AMWU - Travel &amp; Fares (Travel)" tableColumnId="68"/>
      <queryTableField id="1045" name="AMWU - Travel &amp; Fares ($)" tableColumnId="78"/>
      <queryTableField id="13" name="Payslip No." tableColumnId="13"/>
      <queryTableField id="14" name="Transaction Type" tableColumnId="14"/>
      <queryTableField id="1119" name="AWU - Travel Allowance (Travel)" tableColumnId="33"/>
      <queryTableField id="1120" name="AWU - Travel Allowance ($)" tableColumnId="34"/>
      <queryTableField id="1185" name="AWU - Overtime Meal Allowance (Meal)" tableColumnId="69"/>
      <queryTableField id="1186" name="AWU - Overtime Meal Allowance ($)" tableColumnId="72"/>
      <queryTableField id="597" name="Superannuation Salary Sacrifice $" tableColumnId="75"/>
      <queryTableField id="1046" name="Child Support" tableColumnId="79"/>
      <queryTableField id="1131" name="Extra Tax %" tableColumnId="80"/>
      <queryTableField id="17" name="Payment Type" tableColumnId="17"/>
      <queryTableField id="41" name="Gross" tableColumnId="41"/>
      <queryTableField id="42" name="Taxable Income" tableColumnId="42"/>
      <queryTableField id="532" name="Net" tableColumnId="23"/>
      <queryTableField id="533" name="SG Contribution" tableColumnId="24"/>
      <queryTableField id="43" name="Total Tax" tableColumnId="43"/>
      <queryTableField id="45" name="Site Allowance - VIC (Qty)" tableColumnId="45"/>
      <queryTableField id="534" name="Severance (Protect)" tableColumnId="25"/>
      <queryTableField id="535" name="Income Protection (WAGEGUARD)" tableColumnId="27"/>
      <queryTableField id="1187" name="AWU - Severance (Protect)" tableColumnId="76"/>
      <queryTableField id="1188" name="AWU - Mental Health Levy" tableColumnId="77"/>
      <queryTableField id="1375" name="AWU Chifley Insurance" tableColumnId="40"/>
      <queryTableField id="847" name="_1" tableColumnId="74"/>
      <queryTableField id="1236" name="_2" tableColumnId="83"/>
      <queryTableField id="1333" name="_3" tableColumnId="29"/>
      <queryTableField id="1334" name="_4" tableColumnId="30"/>
      <queryTableField id="46" name="Site Allowance - VIC ($)" tableColumnId="46"/>
      <queryTableField id="50" name="Surname" tableColumnId="50"/>
      <queryTableField id="51" name="Cost Rate" tableColumnId="51"/>
      <queryTableField id="52" name="Cost Amount" tableColumnId="52"/>
      <queryTableField id="53" name="Location" tableColumnId="53"/>
      <queryTableField id="54" name="NT" tableColumnId="54"/>
      <queryTableField id="55" name="NT Shift" tableColumnId="55"/>
      <queryTableField id="56" name="OT" tableColumnId="56"/>
      <queryTableField id="57" name="PH" tableColumnId="57"/>
      <queryTableField id="58" name="Site Allowance" tableColumnId="58"/>
      <queryTableField id="59" name="Overtime Meal Allowance" tableColumnId="59"/>
      <queryTableField id="60" name="First Aid L2" tableColumnId="60"/>
      <queryTableField id="61" name="Tool Allowance" tableColumnId="61"/>
      <queryTableField id="852" name="Leading Hand (up to 5 Reports)" tableColumnId="81"/>
      <queryTableField id="62" name="First Aid L3" tableColumnId="62"/>
      <queryTableField id="63" name="Travel &amp; Fares Allowance" tableColumnId="63"/>
      <queryTableField id="64" name="Overtime Productivity Allowance" tableColumnId="64"/>
      <queryTableField id="65" name="Job Classification" tableColumnId="65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6" xr16:uid="{D53F1146-B974-4F8A-B3A7-5DEDDBBDC083}" autoFormatId="16" applyNumberFormats="0" applyBorderFormats="0" applyFontFormats="0" applyPatternFormats="0" applyAlignmentFormats="0" applyWidthHeightFormats="0">
  <queryTableRefresh nextId="203">
    <queryTableFields count="6">
      <queryTableField id="150" name="Employee Number" tableColumnId="2"/>
      <queryTableField id="154" name="Serviced" tableColumnId="8"/>
      <queryTableField id="3" name="Description" tableColumnId="3"/>
      <queryTableField id="4" name="Unit" tableColumnId="4"/>
      <queryTableField id="5" name="Rate" tableColumnId="5"/>
      <queryTableField id="6" name="Amount" tableColumnId="6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7" xr16:uid="{B9E3A59C-CBA4-4589-9989-76F30F76877F}" autoFormatId="16" applyNumberFormats="0" applyBorderFormats="0" applyFontFormats="0" applyPatternFormats="0" applyAlignmentFormats="0" applyWidthHeightFormats="0">
  <queryTableRefresh nextId="1539">
    <queryTableFields count="78">
      <queryTableField id="1" name="Employee Number" tableColumnId="1"/>
      <queryTableField id="2" name="Serviced" tableColumnId="2"/>
      <queryTableField id="3" name="Description" tableColumnId="3"/>
      <queryTableField id="4" name="Unit" tableColumnId="4"/>
      <queryTableField id="5" name="Rate" tableColumnId="5"/>
      <queryTableField id="6" name="Amount" tableColumnId="6"/>
      <queryTableField id="739" name="Normal Hourly (Qty)" tableColumnId="15"/>
      <queryTableField id="740" name="Normal Hourly ($)" tableColumnId="29"/>
      <queryTableField id="741" name="Overtime 2.0 (Qty)" tableColumnId="31"/>
      <queryTableField id="742" name="Overtime 2.0 ($)" tableColumnId="38"/>
      <queryTableField id="1517" name="Annual Leave (Qty)" tableColumnId="10"/>
      <queryTableField id="1518" name="Annual Leave ($)" tableColumnId="11"/>
      <queryTableField id="1519" name="Annual Leave Loading (Qty)" tableColumnId="14"/>
      <queryTableField id="1520" name="Annual Leave Loading ($)" tableColumnId="18"/>
      <queryTableField id="1465" name="RDO Taken (Qty)" tableColumnId="19"/>
      <queryTableField id="1466" name="RDO Taken ($)" tableColumnId="32"/>
      <queryTableField id="743" name="RDO Bank (Qty)" tableColumnId="62"/>
      <queryTableField id="744" name="RDO Bank ($)" tableColumnId="63"/>
      <queryTableField id="766" name="Night Shift 200% (Qty)" tableColumnId="23"/>
      <queryTableField id="767" name="Night Shift 200% ($)" tableColumnId="24"/>
      <queryTableField id="7" name="Margin" tableColumnId="7"/>
      <queryTableField id="8" name="Location" tableColumnId="8"/>
      <queryTableField id="747" name="Overtime 1.8 (Qty)" tableColumnId="66"/>
      <queryTableField id="748" name="Overtime 1.8 ($)" tableColumnId="67"/>
      <queryTableField id="768" name="Nightshift 1.8 (Qty)" tableColumnId="48"/>
      <queryTableField id="769" name="Nightshift 1.8 ($)" tableColumnId="49"/>
      <queryTableField id="1521" name="Rain Work 1.0 (Qty)" tableColumnId="44"/>
      <queryTableField id="1522" name="Rain Work 1.0 ($)" tableColumnId="45"/>
      <queryTableField id="498" name="Overtime Productivity Allowance-VIC (Qty)" tableColumnId="36"/>
      <queryTableField id="499" name="Overtime Productivity Allowance-VIC ($)" tableColumnId="37"/>
      <queryTableField id="1212" name="AMWU - Meal Allowance (Meal)" tableColumnId="43"/>
      <queryTableField id="1213" name="AMWU - Meal Allowance ($)" tableColumnId="50"/>
      <queryTableField id="1214" name="AMWU - Travel &amp; Fares (Travel)" tableColumnId="64"/>
      <queryTableField id="1215" name="AMWU - Travel &amp; Fares ($)" tableColumnId="75"/>
      <queryTableField id="9" name="Cost Rate" tableColumnId="9"/>
      <queryTableField id="1288" name="AWU - Travel Allowance (Travel)" tableColumnId="34"/>
      <queryTableField id="1289" name="AWU - Travel Allowance ($)" tableColumnId="35"/>
      <queryTableField id="1352" name="AWU - Overtime Meal Allowance (Meal)" tableColumnId="68"/>
      <queryTableField id="1353" name="AWU - Overtime Meal Allowance ($)" tableColumnId="70"/>
      <queryTableField id="772" name="Superannuation Salary Sacrifice $" tableColumnId="71"/>
      <queryTableField id="1216" name="Child Support" tableColumnId="76"/>
      <queryTableField id="1300" name="Extra Tax %" tableColumnId="77"/>
      <queryTableField id="12" name="Cost Amount" tableColumnId="12"/>
      <queryTableField id="13" name="Employee Category" tableColumnId="13"/>
      <queryTableField id="16" name="Pay Element - Copy" tableColumnId="16"/>
      <queryTableField id="708" name="Net" tableColumnId="25"/>
      <queryTableField id="709" name="SG Contribution" tableColumnId="26"/>
      <queryTableField id="17" name="Work State" tableColumnId="17"/>
      <queryTableField id="20" name="Payslip No." tableColumnId="20"/>
      <queryTableField id="710" name="Severance (Protect)" tableColumnId="27"/>
      <queryTableField id="711" name="Income Protection (WAGEGUARD)" tableColumnId="28"/>
      <queryTableField id="1354" name="AWU - Severance (Protect)" tableColumnId="72"/>
      <queryTableField id="1355" name="AWU - Mental Health Levy" tableColumnId="74"/>
      <queryTableField id="1536" name="AWU Chifley Insurance" tableColumnId="61"/>
      <queryTableField id="1018" name="_1" tableColumnId="73"/>
      <queryTableField id="1400" name="_2" tableColumnId="80"/>
      <queryTableField id="1495" name="_3" tableColumnId="33"/>
      <queryTableField id="1496" name="_4" tableColumnId="39"/>
      <queryTableField id="21" name="Transaction Type" tableColumnId="21"/>
      <queryTableField id="22" name="Payment Type" tableColumnId="22"/>
      <queryTableField id="40" name="Gross" tableColumnId="40"/>
      <queryTableField id="41" name="Taxable Income" tableColumnId="41"/>
      <queryTableField id="42" name="Total Tax" tableColumnId="42"/>
      <queryTableField id="46" name="Site Allowance - VIC (Qty)" tableColumnId="46"/>
      <queryTableField id="47" name="Site Allowance - VIC ($)" tableColumnId="47"/>
      <queryTableField id="51" name="NT" tableColumnId="51"/>
      <queryTableField id="52" name="NT Shift" tableColumnId="52"/>
      <queryTableField id="53" name="OT" tableColumnId="53"/>
      <queryTableField id="54" name="PH" tableColumnId="54"/>
      <queryTableField id="55" name="Site Allowance" tableColumnId="55"/>
      <queryTableField id="65" name="Tool Allowance" tableColumnId="30"/>
      <queryTableField id="1023" name="Leading Hand (up to 5 Reports)" tableColumnId="78"/>
      <queryTableField id="56" name="Overtime Meal Allowance" tableColumnId="56"/>
      <queryTableField id="57" name="First Aid L2" tableColumnId="57"/>
      <queryTableField id="58" name="First Aid L3" tableColumnId="58"/>
      <queryTableField id="59" name="Travel &amp; Fares Allowance" tableColumnId="59"/>
      <queryTableField id="913" name="Surname - Copy" tableColumnId="65"/>
      <queryTableField id="60" name="Overtime Productivity Allowance" tableColumnId="60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4" xr16:uid="{F67D0DAE-0198-4490-A95B-74B02F604490}" autoFormatId="16" applyNumberFormats="0" applyBorderFormats="0" applyFontFormats="0" applyPatternFormats="0" applyAlignmentFormats="0" applyWidthHeightFormats="0">
  <queryTableRefresh nextId="1112">
    <queryTableFields count="78">
      <queryTableField id="1" name="Employee Number" tableColumnId="1"/>
      <queryTableField id="2" name="Serviced" tableColumnId="2"/>
      <queryTableField id="3" name="Description" tableColumnId="3"/>
      <queryTableField id="4" name="Unit" tableColumnId="4"/>
      <queryTableField id="5" name="Rate" tableColumnId="5"/>
      <queryTableField id="6" name="Amount" tableColumnId="6"/>
      <queryTableField id="314" name="Normal Hourly (Qty)" tableColumnId="18"/>
      <queryTableField id="315" name="Normal Hourly ($)" tableColumnId="34"/>
      <queryTableField id="316" name="Overtime 2.0 (Qty)" tableColumnId="35"/>
      <queryTableField id="317" name="Overtime 2.0 ($)" tableColumnId="36"/>
      <queryTableField id="1090" name="Annual Leave (Qty)" tableColumnId="10"/>
      <queryTableField id="1091" name="Annual Leave ($)" tableColumnId="11"/>
      <queryTableField id="1092" name="Annual Leave Loading (Qty)" tableColumnId="19"/>
      <queryTableField id="1093" name="Annual Leave Loading ($)" tableColumnId="20"/>
      <queryTableField id="1038" name="RDO Taken (Qty)" tableColumnId="21"/>
      <queryTableField id="1039" name="RDO Taken ($)" tableColumnId="23"/>
      <queryTableField id="318" name="RDO Bank (Qty)" tableColumnId="63"/>
      <queryTableField id="319" name="RDO Bank ($)" tableColumnId="64"/>
      <queryTableField id="341" name="Night Shift 200% (Qty)" tableColumnId="26"/>
      <queryTableField id="342" name="Night Shift 200% ($)" tableColumnId="28"/>
      <queryTableField id="7" name="Margin" tableColumnId="7"/>
      <queryTableField id="8" name="Location" tableColumnId="8"/>
      <queryTableField id="322" name="Overtime 1.8 (Qty)" tableColumnId="67"/>
      <queryTableField id="323" name="Overtime 1.8 ($)" tableColumnId="68"/>
      <queryTableField id="343" name="Nightshift 1.8 (Qty)" tableColumnId="47"/>
      <queryTableField id="344" name="Nightshift 1.8 ($)" tableColumnId="48"/>
      <queryTableField id="1094" name="Rain Work 1.0 (Qty)" tableColumnId="41"/>
      <queryTableField id="1095" name="Rain Work 1.0 ($)" tableColumnId="42"/>
      <queryTableField id="71" name="Overtime Productivity Allowance-VIC (Qty)" tableColumnId="27"/>
      <queryTableField id="72" name="Overtime Productivity Allowance-VIC ($)" tableColumnId="37"/>
      <queryTableField id="785" name="AMWU - Meal Allowance (Meal)" tableColumnId="44"/>
      <queryTableField id="786" name="AMWU - Meal Allowance ($)" tableColumnId="49"/>
      <queryTableField id="787" name="AMWU - Travel &amp; Fares (Travel)" tableColumnId="65"/>
      <queryTableField id="788" name="AMWU - Travel &amp; Fares ($)" tableColumnId="75"/>
      <queryTableField id="9" name="Cost Rate" tableColumnId="9"/>
      <queryTableField id="861" name="AWU - Travel Allowance (Travel)" tableColumnId="24"/>
      <queryTableField id="862" name="AWU - Travel Allowance ($)" tableColumnId="25"/>
      <queryTableField id="925" name="AWU - Overtime Meal Allowance (Meal)" tableColumnId="66"/>
      <queryTableField id="926" name="AWU - Overtime Meal Allowance ($)" tableColumnId="69"/>
      <queryTableField id="347" name="Superannuation Salary Sacrifice $" tableColumnId="72"/>
      <queryTableField id="789" name="Child Support" tableColumnId="76"/>
      <queryTableField id="873" name="Extra Tax %" tableColumnId="77"/>
      <queryTableField id="12" name="Cost Amount" tableColumnId="12"/>
      <queryTableField id="13" name="Employee Category" tableColumnId="13"/>
      <queryTableField id="14" name="Pay Element - Copy" tableColumnId="14"/>
      <queryTableField id="283" name="Net" tableColumnId="29"/>
      <queryTableField id="284" name="SG Contribution" tableColumnId="30"/>
      <queryTableField id="15" name="Work State" tableColumnId="15"/>
      <queryTableField id="16" name="Payslip No." tableColumnId="16"/>
      <queryTableField id="285" name="Severance (Protect)" tableColumnId="31"/>
      <queryTableField id="286" name="Income Protection (WAGEGUARD)" tableColumnId="33"/>
      <queryTableField id="927" name="AWU - Severance (Protect)" tableColumnId="73"/>
      <queryTableField id="928" name="AWU - Mental Health Levy" tableColumnId="74"/>
      <queryTableField id="1109" name="AWU Chifley Insurance" tableColumnId="62"/>
      <queryTableField id="591" name="_1" tableColumnId="71"/>
      <queryTableField id="973" name="_2" tableColumnId="80"/>
      <queryTableField id="1068" name="_3" tableColumnId="32"/>
      <queryTableField id="1069" name="_4" tableColumnId="38"/>
      <queryTableField id="17" name="Transaction Type" tableColumnId="17"/>
      <queryTableField id="22" name="Payment Type" tableColumnId="22"/>
      <queryTableField id="39" name="Gross" tableColumnId="39"/>
      <queryTableField id="40" name="Taxable Income" tableColumnId="40"/>
      <queryTableField id="43" name="Total Tax" tableColumnId="43"/>
      <queryTableField id="45" name="Site Allowance - VIC (Qty)" tableColumnId="45"/>
      <queryTableField id="46" name="Site Allowance - VIC ($)" tableColumnId="46"/>
      <queryTableField id="50" name="NT" tableColumnId="50"/>
      <queryTableField id="51" name="NT Shift" tableColumnId="51"/>
      <queryTableField id="52" name="OT" tableColumnId="52"/>
      <queryTableField id="53" name="PH" tableColumnId="53"/>
      <queryTableField id="54" name="Site Allowance" tableColumnId="54"/>
      <queryTableField id="55" name="Tool Allowance" tableColumnId="55"/>
      <queryTableField id="596" name="Leading Hand (up to 5 Reports)" tableColumnId="78"/>
      <queryTableField id="56" name="Overtime Meal Allowance" tableColumnId="56"/>
      <queryTableField id="57" name="First Aid L2" tableColumnId="57"/>
      <queryTableField id="58" name="First Aid L3" tableColumnId="58"/>
      <queryTableField id="59" name="Travel &amp; Fares Allowance" tableColumnId="59"/>
      <queryTableField id="169" name="Surname - Copy" tableColumnId="61"/>
      <queryTableField id="60" name="Overtime Productivity Allowance" tableColumnId="60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" xr16:uid="{CF6298C9-0A94-4807-A165-2FA626B1D11E}" autoFormatId="16" applyNumberFormats="0" applyBorderFormats="0" applyFontFormats="0" applyPatternFormats="0" applyAlignmentFormats="0" applyWidthHeightFormats="0">
  <queryTableRefresh nextId="1805">
    <queryTableFields count="81">
      <queryTableField id="1" name="Employee Number" tableColumnId="1"/>
      <queryTableField id="10" name="Serviced" tableColumnId="10"/>
      <queryTableField id="14" name="Description" tableColumnId="14"/>
      <queryTableField id="5" name="Unit" tableColumnId="5"/>
      <queryTableField id="8" name="Rate" tableColumnId="8"/>
      <queryTableField id="9" name="Amount" tableColumnId="9"/>
      <queryTableField id="12" name="Location" tableColumnId="12"/>
      <queryTableField id="57" name="Job Classification" tableColumnId="41"/>
      <queryTableField id="58" name="Client" tableColumnId="42"/>
      <queryTableField id="243" name="Margin" tableColumnId="24"/>
      <queryTableField id="990" name="Normal Hourly (Qty)" tableColumnId="22"/>
      <queryTableField id="991" name="Normal Hourly ($)" tableColumnId="26"/>
      <queryTableField id="992" name="Overtime 2.0 (Qty)" tableColumnId="27"/>
      <queryTableField id="993" name="Overtime 2.0 ($)" tableColumnId="34"/>
      <queryTableField id="1782" name="Annual Leave (Qty)" tableColumnId="11"/>
      <queryTableField id="1783" name="Annual Leave ($)" tableColumnId="13"/>
      <queryTableField id="1784" name="Annual Leave Loading (Qty)" tableColumnId="15"/>
      <queryTableField id="1785" name="Annual Leave Loading ($)" tableColumnId="16"/>
      <queryTableField id="1729" name="RDO Taken (Qty)" tableColumnId="25"/>
      <queryTableField id="1730" name="RDO Taken ($)" tableColumnId="28"/>
      <queryTableField id="994" name="RDO Bank (Qty)" tableColumnId="66"/>
      <queryTableField id="995" name="RDO Bank ($)" tableColumnId="67"/>
      <queryTableField id="1018" name="Night Shift 200% (Qty)" tableColumnId="17"/>
      <queryTableField id="1019" name="Night Shift 200% ($)" tableColumnId="18"/>
      <queryTableField id="24" name="Employee Category" tableColumnId="2"/>
      <queryTableField id="25" name="Work State" tableColumnId="3"/>
      <queryTableField id="998" name="Overtime 1.8 (Qty)" tableColumnId="70"/>
      <queryTableField id="999" name="Overtime 1.8 ($)" tableColumnId="71"/>
      <queryTableField id="1020" name="Nightshift 1.8 (Qty)" tableColumnId="62"/>
      <queryTableField id="1021" name="Nightshift 1.8 ($)" tableColumnId="63"/>
      <queryTableField id="1786" name="Rain Work 1.0 (Qty)" tableColumnId="44"/>
      <queryTableField id="1787" name="Rain Work 1.0 ($)" tableColumnId="61"/>
      <queryTableField id="750" name="Overtime Productivity Allowance-VIC (Qty)" tableColumnId="32"/>
      <queryTableField id="751" name="Overtime Productivity Allowance-VIC ($)" tableColumnId="33"/>
      <queryTableField id="1469" name="AMWU - Meal Allowance (Meal)" tableColumnId="45"/>
      <queryTableField id="1470" name="AMWU - Meal Allowance ($)" tableColumnId="64"/>
      <queryTableField id="1471" name="AMWU - Travel &amp; Fares (Travel)" tableColumnId="68"/>
      <queryTableField id="1472" name="AMWU - Travel &amp; Fares ($)" tableColumnId="78"/>
      <queryTableField id="26" name="Payslip No." tableColumnId="4"/>
      <queryTableField id="27" name="Transaction Type" tableColumnId="6"/>
      <queryTableField id="1546" name="AWU - Travel Allowance (Travel)" tableColumnId="30"/>
      <queryTableField id="1547" name="AWU - Travel Allowance ($)" tableColumnId="31"/>
      <queryTableField id="1612" name="AWU - Overtime Meal Allowance (Meal)" tableColumnId="69"/>
      <queryTableField id="1613" name="AWU - Overtime Meal Allowance ($)" tableColumnId="72"/>
      <queryTableField id="1024" name="Superannuation Salary Sacrifice $" tableColumnId="75"/>
      <queryTableField id="1473" name="Child Support" tableColumnId="79"/>
      <queryTableField id="1558" name="Extra Tax %" tableColumnId="80"/>
      <queryTableField id="28" name="Payment Type" tableColumnId="7"/>
      <queryTableField id="51" name="Gross" tableColumnId="35"/>
      <queryTableField id="52" name="Taxable Income" tableColumnId="36"/>
      <queryTableField id="959" name="Net" tableColumnId="19"/>
      <queryTableField id="960" name="SG Contribution" tableColumnId="20"/>
      <queryTableField id="53" name="Total Tax" tableColumnId="37"/>
      <queryTableField id="222" name="Site Allowance - VIC (Qty)" tableColumnId="39"/>
      <queryTableField id="961" name="Severance (Protect)" tableColumnId="21"/>
      <queryTableField id="962" name="Income Protection (WAGEGUARD)" tableColumnId="23"/>
      <queryTableField id="1614" name="AWU - Severance (Protect)" tableColumnId="76"/>
      <queryTableField id="1615" name="AWU - Mental Health Levy" tableColumnId="77"/>
      <queryTableField id="1802" name="AWU Chifley Insurance" tableColumnId="65"/>
      <queryTableField id="1274" name="_1" tableColumnId="74"/>
      <queryTableField id="1663" name="_2" tableColumnId="83"/>
      <queryTableField id="1760" name="_3" tableColumnId="29"/>
      <queryTableField id="1761" name="_4" tableColumnId="38"/>
      <queryTableField id="223" name="Site Allowance - VIC ($)" tableColumnId="40"/>
      <queryTableField id="62" name="Pay Element" tableColumnId="46"/>
      <queryTableField id="63" name="Name" tableColumnId="47"/>
      <queryTableField id="64" name="Surname" tableColumnId="48"/>
      <queryTableField id="65" name="Cost Rate" tableColumnId="49"/>
      <queryTableField id="66" name="NT" tableColumnId="50"/>
      <queryTableField id="67" name="NT Shift" tableColumnId="51"/>
      <queryTableField id="68" name="OT" tableColumnId="52"/>
      <queryTableField id="69" name="PH" tableColumnId="53"/>
      <queryTableField id="70" name="Site Allowance" tableColumnId="54"/>
      <queryTableField id="71" name="Overtime Meal Allowance" tableColumnId="55"/>
      <queryTableField id="72" name="First Aid L2" tableColumnId="56"/>
      <queryTableField id="299" name="Tool Allowance" tableColumnId="43"/>
      <queryTableField id="1279" name="Leading Hand (up to 5 Reports)" tableColumnId="81"/>
      <queryTableField id="73" name="First Aid L3" tableColumnId="57"/>
      <queryTableField id="74" name="Travel &amp; Fares Allowance" tableColumnId="58"/>
      <queryTableField id="75" name="Overtime Productivity Allowance" tableColumnId="59"/>
      <queryTableField id="76" name="Cost Amount" tableColumnId="60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6C381EFB-1C8E-4F92-8F59-62049603EFB9}" autoFormatId="16" applyNumberFormats="0" applyBorderFormats="0" applyFontFormats="0" applyPatternFormats="0" applyAlignmentFormats="0" applyWidthHeightFormats="0">
  <queryTableRefresh nextId="1310">
    <queryTableFields count="81">
      <queryTableField id="1" name="Employee Number" tableColumnId="1"/>
      <queryTableField id="2" name="Serviced" tableColumnId="2"/>
      <queryTableField id="3" name="Description" tableColumnId="3"/>
      <queryTableField id="4" name="Unit" tableColumnId="4"/>
      <queryTableField id="5" name="Rate" tableColumnId="5"/>
      <queryTableField id="6" name="Amount" tableColumnId="6"/>
      <queryTableField id="7" name="Location" tableColumnId="7"/>
      <queryTableField id="8" name="Job Classification" tableColumnId="8"/>
      <queryTableField id="9" name="Client" tableColumnId="9"/>
      <queryTableField id="10" name="Margin" tableColumnId="10"/>
      <queryTableField id="495" name="Normal Hourly (Qty)" tableColumnId="32"/>
      <queryTableField id="496" name="Normal Hourly ($)" tableColumnId="34"/>
      <queryTableField id="497" name="Overtime 2.0 (Qty)" tableColumnId="35"/>
      <queryTableField id="498" name="Overtime 2.0 ($)" tableColumnId="36"/>
      <queryTableField id="1287" name="Annual Leave (Qty)" tableColumnId="16"/>
      <queryTableField id="1288" name="Annual Leave ($)" tableColumnId="17"/>
      <queryTableField id="1289" name="Annual Leave Loading (Qty)" tableColumnId="18"/>
      <queryTableField id="1290" name="Annual Leave Loading ($)" tableColumnId="19"/>
      <queryTableField id="1234" name="RDO Taken (Qty)" tableColumnId="21"/>
      <queryTableField id="1235" name="RDO Taken ($)" tableColumnId="22"/>
      <queryTableField id="499" name="RDO Bank (Qty)" tableColumnId="66"/>
      <queryTableField id="500" name="RDO Bank ($)" tableColumnId="67"/>
      <queryTableField id="523" name="Night Shift 200% (Qty)" tableColumnId="20"/>
      <queryTableField id="524" name="Night Shift 200% ($)" tableColumnId="23"/>
      <queryTableField id="11" name="Employee Category" tableColumnId="11"/>
      <queryTableField id="12" name="Work State" tableColumnId="12"/>
      <queryTableField id="503" name="Overtime 1.8 (Qty)" tableColumnId="70"/>
      <queryTableField id="504" name="Overtime 1.8 ($)" tableColumnId="71"/>
      <queryTableField id="525" name="Nightshift 1.8 (Qty)" tableColumnId="43"/>
      <queryTableField id="526" name="Nightshift 1.8 ($)" tableColumnId="44"/>
      <queryTableField id="1291" name="Rain Work 1.0 (Qty)" tableColumnId="46"/>
      <queryTableField id="1292" name="Rain Work 1.0 ($)" tableColumnId="47"/>
      <queryTableField id="255" name="Overtime Productivity Allowance-VIC (Qty)" tableColumnId="29"/>
      <queryTableField id="256" name="Overtime Productivity Allowance-VIC ($)" tableColumnId="30"/>
      <queryTableField id="974" name="AMWU - Meal Allowance (Meal)" tableColumnId="45"/>
      <queryTableField id="975" name="AMWU - Meal Allowance ($)" tableColumnId="48"/>
      <queryTableField id="976" name="AMWU - Travel &amp; Fares (Travel)" tableColumnId="68"/>
      <queryTableField id="977" name="AMWU - Travel &amp; Fares ($)" tableColumnId="78"/>
      <queryTableField id="13" name="Payslip No." tableColumnId="13"/>
      <queryTableField id="14" name="Transaction Type" tableColumnId="14"/>
      <queryTableField id="1051" name="AWU - Travel Allowance (Travel)" tableColumnId="25"/>
      <queryTableField id="1052" name="AWU - Travel Allowance ($)" tableColumnId="26"/>
      <queryTableField id="1117" name="AWU - Overtime Meal Allowance (Meal)" tableColumnId="69"/>
      <queryTableField id="1118" name="AWU - Overtime Meal Allowance ($)" tableColumnId="72"/>
      <queryTableField id="529" name="Superannuation Salary Sacrifice $" tableColumnId="75"/>
      <queryTableField id="978" name="Child Support" tableColumnId="79"/>
      <queryTableField id="1063" name="Extra Tax %" tableColumnId="80"/>
      <queryTableField id="15" name="Payment Type" tableColumnId="15"/>
      <queryTableField id="33" name="Gross" tableColumnId="33"/>
      <queryTableField id="38" name="Taxable Income" tableColumnId="38"/>
      <queryTableField id="464" name="Net" tableColumnId="24"/>
      <queryTableField id="465" name="SG Contribution" tableColumnId="27"/>
      <queryTableField id="39" name="Total Tax" tableColumnId="39"/>
      <queryTableField id="41" name="Site Allowance - VIC (Qty)" tableColumnId="41"/>
      <queryTableField id="466" name="Severance (Protect)" tableColumnId="28"/>
      <queryTableField id="467" name="Income Protection (WAGEGUARD)" tableColumnId="31"/>
      <queryTableField id="1119" name="AWU - Severance (Protect)" tableColumnId="76"/>
      <queryTableField id="1120" name="AWU - Mental Health Levy" tableColumnId="77"/>
      <queryTableField id="1307" name="AWU Chifley Insurance" tableColumnId="65"/>
      <queryTableField id="779" name="_1" tableColumnId="74"/>
      <queryTableField id="1168" name="_2" tableColumnId="83"/>
      <queryTableField id="1265" name="_3" tableColumnId="37"/>
      <queryTableField id="1266" name="_4" tableColumnId="40"/>
      <queryTableField id="42" name="Site Allowance - VIC ($)" tableColumnId="42"/>
      <queryTableField id="49" name="Pay Element" tableColumnId="49"/>
      <queryTableField id="50" name="Name" tableColumnId="50"/>
      <queryTableField id="51" name="Surname" tableColumnId="51"/>
      <queryTableField id="52" name="Cost Rate" tableColumnId="52"/>
      <queryTableField id="53" name="NT" tableColumnId="53"/>
      <queryTableField id="54" name="NT Shift" tableColumnId="54"/>
      <queryTableField id="55" name="OT" tableColumnId="55"/>
      <queryTableField id="56" name="PH" tableColumnId="56"/>
      <queryTableField id="57" name="Site Allowance" tableColumnId="57"/>
      <queryTableField id="58" name="Overtime Meal Allowance" tableColumnId="58"/>
      <queryTableField id="59" name="First Aid L2" tableColumnId="59"/>
      <queryTableField id="60" name="Tool Allowance" tableColumnId="60"/>
      <queryTableField id="784" name="Leading Hand (up to 5 Reports)" tableColumnId="81"/>
      <queryTableField id="61" name="First Aid L3" tableColumnId="61"/>
      <queryTableField id="62" name="Travel &amp; Fares Allowance" tableColumnId="62"/>
      <queryTableField id="63" name="Overtime Productivity Allowance" tableColumnId="63"/>
      <queryTableField id="64" name="Cost Amount" tableColumnId="64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764862F7-A742-4505-8595-6CFD1BC10073}" autoFormatId="16" applyNumberFormats="0" applyBorderFormats="0" applyFontFormats="0" applyPatternFormats="0" applyAlignmentFormats="0" applyWidthHeightFormats="0">
  <queryTableRefresh nextId="1310">
    <queryTableFields count="81">
      <queryTableField id="1" name="Employee Number" tableColumnId="1"/>
      <queryTableField id="2" name="Serviced" tableColumnId="2"/>
      <queryTableField id="3" name="Description" tableColumnId="3"/>
      <queryTableField id="4" name="Unit" tableColumnId="4"/>
      <queryTableField id="5" name="Rate" tableColumnId="5"/>
      <queryTableField id="6" name="Amount" tableColumnId="6"/>
      <queryTableField id="7" name="Location" tableColumnId="7"/>
      <queryTableField id="8" name="Job Classification" tableColumnId="8"/>
      <queryTableField id="9" name="Client" tableColumnId="9"/>
      <queryTableField id="10" name="Margin" tableColumnId="10"/>
      <queryTableField id="495" name="Normal Hourly (Qty)" tableColumnId="32"/>
      <queryTableField id="496" name="Normal Hourly ($)" tableColumnId="34"/>
      <queryTableField id="497" name="Overtime 2.0 (Qty)" tableColumnId="35"/>
      <queryTableField id="498" name="Overtime 2.0 ($)" tableColumnId="36"/>
      <queryTableField id="1287" name="Annual Leave (Qty)" tableColumnId="16"/>
      <queryTableField id="1288" name="Annual Leave ($)" tableColumnId="17"/>
      <queryTableField id="1289" name="Annual Leave Loading (Qty)" tableColumnId="18"/>
      <queryTableField id="1290" name="Annual Leave Loading ($)" tableColumnId="19"/>
      <queryTableField id="1234" name="RDO Taken (Qty)" tableColumnId="21"/>
      <queryTableField id="1235" name="RDO Taken ($)" tableColumnId="22"/>
      <queryTableField id="499" name="RDO Bank (Qty)" tableColumnId="66"/>
      <queryTableField id="500" name="RDO Bank ($)" tableColumnId="67"/>
      <queryTableField id="523" name="Night Shift 200% (Qty)" tableColumnId="20"/>
      <queryTableField id="524" name="Night Shift 200% ($)" tableColumnId="23"/>
      <queryTableField id="11" name="Employee Category" tableColumnId="11"/>
      <queryTableField id="12" name="Work State" tableColumnId="12"/>
      <queryTableField id="503" name="Overtime 1.8 (Qty)" tableColumnId="70"/>
      <queryTableField id="504" name="Overtime 1.8 ($)" tableColumnId="71"/>
      <queryTableField id="525" name="Nightshift 1.8 (Qty)" tableColumnId="43"/>
      <queryTableField id="526" name="Nightshift 1.8 ($)" tableColumnId="44"/>
      <queryTableField id="1291" name="Rain Work 1.0 (Qty)" tableColumnId="46"/>
      <queryTableField id="1292" name="Rain Work 1.0 ($)" tableColumnId="47"/>
      <queryTableField id="255" name="Overtime Productivity Allowance-VIC (Qty)" tableColumnId="29"/>
      <queryTableField id="256" name="Overtime Productivity Allowance-VIC ($)" tableColumnId="30"/>
      <queryTableField id="974" name="AMWU - Meal Allowance (Meal)" tableColumnId="45"/>
      <queryTableField id="975" name="AMWU - Meal Allowance ($)" tableColumnId="48"/>
      <queryTableField id="976" name="AMWU - Travel &amp; Fares (Travel)" tableColumnId="68"/>
      <queryTableField id="977" name="AMWU - Travel &amp; Fares ($)" tableColumnId="78"/>
      <queryTableField id="13" name="Payslip No." tableColumnId="13"/>
      <queryTableField id="14" name="Transaction Type" tableColumnId="14"/>
      <queryTableField id="1051" name="AWU - Travel Allowance (Travel)" tableColumnId="25"/>
      <queryTableField id="1052" name="AWU - Travel Allowance ($)" tableColumnId="26"/>
      <queryTableField id="1117" name="AWU - Overtime Meal Allowance (Meal)" tableColumnId="69"/>
      <queryTableField id="1118" name="AWU - Overtime Meal Allowance ($)" tableColumnId="72"/>
      <queryTableField id="529" name="Superannuation Salary Sacrifice $" tableColumnId="75"/>
      <queryTableField id="978" name="Child Support" tableColumnId="79"/>
      <queryTableField id="1063" name="Extra Tax %" tableColumnId="80"/>
      <queryTableField id="15" name="Payment Type" tableColumnId="15"/>
      <queryTableField id="33" name="Gross" tableColumnId="33"/>
      <queryTableField id="38" name="Taxable Income" tableColumnId="38"/>
      <queryTableField id="464" name="Net" tableColumnId="24"/>
      <queryTableField id="465" name="SG Contribution" tableColumnId="27"/>
      <queryTableField id="39" name="Total Tax" tableColumnId="39"/>
      <queryTableField id="41" name="Site Allowance - VIC (Qty)" tableColumnId="41"/>
      <queryTableField id="466" name="Severance (Protect)" tableColumnId="28"/>
      <queryTableField id="467" name="Income Protection (WAGEGUARD)" tableColumnId="31"/>
      <queryTableField id="1119" name="AWU - Severance (Protect)" tableColumnId="76"/>
      <queryTableField id="1120" name="AWU - Mental Health Levy" tableColumnId="77"/>
      <queryTableField id="1307" name="AWU Chifley Insurance" tableColumnId="65"/>
      <queryTableField id="779" name="_1" tableColumnId="74"/>
      <queryTableField id="1168" name="_2" tableColumnId="83"/>
      <queryTableField id="1265" name="_3" tableColumnId="37"/>
      <queryTableField id="1266" name="_4" tableColumnId="40"/>
      <queryTableField id="42" name="Site Allowance - VIC ($)" tableColumnId="42"/>
      <queryTableField id="49" name="Pay Element" tableColumnId="49"/>
      <queryTableField id="50" name="Name" tableColumnId="50"/>
      <queryTableField id="51" name="Surname" tableColumnId="51"/>
      <queryTableField id="52" name="Cost Rate" tableColumnId="52"/>
      <queryTableField id="53" name="NT" tableColumnId="53"/>
      <queryTableField id="54" name="NT Shift" tableColumnId="54"/>
      <queryTableField id="55" name="OT" tableColumnId="55"/>
      <queryTableField id="56" name="PH" tableColumnId="56"/>
      <queryTableField id="57" name="Site Allowance" tableColumnId="57"/>
      <queryTableField id="58" name="Overtime Meal Allowance" tableColumnId="58"/>
      <queryTableField id="59" name="First Aid L2" tableColumnId="59"/>
      <queryTableField id="60" name="Tool Allowance" tableColumnId="60"/>
      <queryTableField id="784" name="Leading Hand (up to 5 Reports)" tableColumnId="81"/>
      <queryTableField id="61" name="First Aid L3" tableColumnId="61"/>
      <queryTableField id="62" name="Travel &amp; Fares Allowance" tableColumnId="62"/>
      <queryTableField id="63" name="Overtime Productivity Allowance" tableColumnId="63"/>
      <queryTableField id="64" name="Cost Amount" tableColumnId="6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9621E9F-1F26-4D3B-8AC3-FFEDB5BFCF1A}" name="Table4" displayName="Table4" ref="A1:N31" totalsRowShown="0" headerRowDxfId="272" dataDxfId="271" headerRowCellStyle="Comma" dataCellStyle="Comma">
  <autoFilter ref="A1:N31" xr:uid="{325D78BC-2E90-47A1-9098-6D26EA21B234}"/>
  <tableColumns count="14">
    <tableColumn id="1" xr3:uid="{0294CD7A-018A-4087-9369-420E3D5C3B69}" name="Classification"/>
    <tableColumn id="2" xr3:uid="{E5E94146-7511-4A1E-93DE-D5B0CAB96FF9}" name="Unit"/>
    <tableColumn id="3" xr3:uid="{04B2F00D-0B76-458D-BDA2-D4CA411E9701}" name="NT" dataDxfId="270" dataCellStyle="Comma"/>
    <tableColumn id="4" xr3:uid="{3FE9700A-87AC-4FA8-AC34-4DAD32CBAC02}" name="NT Shift" dataDxfId="269" dataCellStyle="Comma"/>
    <tableColumn id="5" xr3:uid="{7833B72C-E2B2-4144-8BCA-50F74AD9C8FE}" name="OT" dataDxfId="268" dataCellStyle="Comma"/>
    <tableColumn id="6" xr3:uid="{6831DE1D-FF45-416A-B0B3-1AD69B21D26C}" name="PH" dataDxfId="267" dataCellStyle="Comma"/>
    <tableColumn id="7" xr3:uid="{C67A2F74-5315-47C8-BEA7-06E626D1B941}" name="Site Allowance" dataDxfId="266" dataCellStyle="Comma"/>
    <tableColumn id="8" xr3:uid="{B0564EB0-2A22-486A-9C2C-A6507C17393B}" name="Overtime Meal Allowance" dataDxfId="265" dataCellStyle="Comma"/>
    <tableColumn id="9" xr3:uid="{7E45D7E4-E140-496F-B85A-B1206F364C77}" name="First Aid L2" dataDxfId="264" dataCellStyle="Comma"/>
    <tableColumn id="10" xr3:uid="{65A5AE94-7AB7-4717-B034-B2874D37345C}" name="First Aid L3" dataDxfId="263" dataCellStyle="Comma"/>
    <tableColumn id="11" xr3:uid="{0BD47439-FFE1-4B1E-BD80-65DA29DBAC18}" name="Travel &amp; Fares Allowance" dataDxfId="262" dataCellStyle="Comma"/>
    <tableColumn id="12" xr3:uid="{4A6E7A89-8501-4C04-A598-1B17FBA3FA96}" name="Overtime Productivity Allowance" dataDxfId="261" dataCellStyle="Comma"/>
    <tableColumn id="13" xr3:uid="{1CC35B11-7ECB-4357-93D8-E09EA58371BF}" name="Tool Allowance" dataDxfId="260" dataCellStyle="Comma"/>
    <tableColumn id="14" xr3:uid="{EE1CEC41-8581-489E-9878-0CAC319FE6AB}" name="Leading Hand (up to 5 Reports)" dataDxfId="259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60C746-E83B-4022-B32C-B3EE5BB3079D}" name="Charge_Sheet" displayName="Charge_Sheet" ref="A1:N31" tableType="queryTable" totalsRowShown="0">
  <autoFilter ref="A1:N31" xr:uid="{BC5428BC-4C32-4B8F-82C0-6FFB80CFB267}"/>
  <tableColumns count="14">
    <tableColumn id="1" xr3:uid="{6CDD3E0D-1504-4D0E-B09C-55CD5ACCD284}" uniqueName="1" name="Job Classification" queryTableFieldId="13" dataDxfId="258"/>
    <tableColumn id="2" xr3:uid="{A2FE3864-7C3C-4ACA-B63D-8476D905BC61}" uniqueName="2" name="Unit" queryTableFieldId="2" dataDxfId="257"/>
    <tableColumn id="3" xr3:uid="{088E6974-AC69-4D78-A537-350DC8C2069F}" uniqueName="3" name="NT" queryTableFieldId="3"/>
    <tableColumn id="4" xr3:uid="{4A384AE9-5126-4DEB-A77E-DFF327BA8427}" uniqueName="4" name="NT Shift" queryTableFieldId="4"/>
    <tableColumn id="5" xr3:uid="{38901E9B-78D7-4683-B01A-5BADA3F4ED19}" uniqueName="5" name="OT" queryTableFieldId="5"/>
    <tableColumn id="6" xr3:uid="{512D4746-77D1-48B3-8F9A-7596E82E9EB4}" uniqueName="6" name="PH" queryTableFieldId="6"/>
    <tableColumn id="7" xr3:uid="{33E4599B-4760-4F0D-850C-187F38EF0445}" uniqueName="7" name="Site Allowance" queryTableFieldId="7"/>
    <tableColumn id="8" xr3:uid="{2CA40C01-47A6-43B5-8C0C-394069E02500}" uniqueName="8" name="Overtime Meal Allowance" queryTableFieldId="8"/>
    <tableColumn id="9" xr3:uid="{47FA4A21-6856-460E-AD06-6EC2BCCCC94A}" uniqueName="9" name="First Aid L2" queryTableFieldId="9"/>
    <tableColumn id="10" xr3:uid="{2D1AB283-BF09-4B01-BD3A-E0469ACADAAC}" uniqueName="10" name="First Aid L3" queryTableFieldId="10"/>
    <tableColumn id="11" xr3:uid="{8D7B466F-0F5C-44BA-A633-5B9C92A34DD0}" uniqueName="11" name="Travel &amp; Fares Allowance" queryTableFieldId="11"/>
    <tableColumn id="12" xr3:uid="{A8AB0E8F-4E9A-45FD-A6D5-61D71D2A510F}" uniqueName="12" name="Overtime Productivity Allowance" queryTableFieldId="12"/>
    <tableColumn id="13" xr3:uid="{35A98C34-6851-454C-BA10-C549D87073C2}" uniqueName="13" name="Tool Allowance" queryTableFieldId="15"/>
    <tableColumn id="14" xr3:uid="{50D3E22F-7FDD-430A-B872-41EE211C39DD}" uniqueName="14" name="Leading Hand (up to 5 Reports)" queryTableField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7165A7-B84B-4D9B-A86A-8BFA8145C7E6}" name="Job_Classifications" displayName="Job_Classifications" ref="A1:E59" tableType="queryTable" totalsRowShown="0">
  <autoFilter ref="A1:E59" xr:uid="{569CCE83-18EA-4DE6-9522-4E8D8B762240}"/>
  <sortState xmlns:xlrd2="http://schemas.microsoft.com/office/spreadsheetml/2017/richdata2" ref="A2:E59">
    <sortCondition ref="B1:B59"/>
  </sortState>
  <tableColumns count="5">
    <tableColumn id="5" xr3:uid="{C917558E-4A62-4552-AA58-64A3676307D7}" uniqueName="5" name="Payroll Name Selection" queryTableFieldId="5" dataDxfId="256"/>
    <tableColumn id="1" xr3:uid="{88D6C707-1013-43B4-96AB-14876439DE9A}" uniqueName="1" name="Employee Number" queryTableFieldId="1"/>
    <tableColumn id="2" xr3:uid="{7B457CA9-2CC6-4E98-B901-4193D44870D1}" uniqueName="2" name="First Name" queryTableFieldId="11" dataDxfId="255"/>
    <tableColumn id="3" xr3:uid="{1FAA942B-7CC4-4600-B049-737588D6135E}" uniqueName="3" name="Last Name" queryTableFieldId="12" dataDxfId="254"/>
    <tableColumn id="4" xr3:uid="{C62972C8-E457-469C-998D-C44520E2A14A}" uniqueName="4" name="Job Classification" queryTableFieldId="4" dataDxfId="25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64369C4-01CF-4DC3-A632-E0850A800838}" name="Leading_Hand__2_5_Reports" displayName="Leading_Hand__2_5_Reports" ref="A1:A2" tableType="queryTable" totalsRowShown="0">
  <autoFilter ref="A1:A2" xr:uid="{54A58D08-CF90-4AF8-A580-63F314A43B38}"/>
  <tableColumns count="1">
    <tableColumn id="1" xr3:uid="{076E7CA8-D82F-40CC-AC74-279CBB8EF9AE}" uniqueName="1" name="Leading Hand (2-5 Reports)" queryTableFieldId="123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E7D2B6-897A-4E28-A2BD-0AE8E44AB929}" name="Site_Allowance" displayName="Site_Allowance" ref="A1:AN20" tableType="queryTable" totalsRowShown="0">
  <autoFilter ref="A1:AN20" xr:uid="{0D190029-A1E4-47D0-B563-C2D10A1E8ED3}"/>
  <tableColumns count="40">
    <tableColumn id="39" xr3:uid="{0230BBE5-C14F-4296-9C7C-08CFB9E88D39}" uniqueName="39" name="Employee Number" queryTableFieldId="221"/>
    <tableColumn id="40" xr3:uid="{6332C717-F9D2-460C-8F9B-DA9F68F13B20}" uniqueName="40" name="Name" queryTableFieldId="222"/>
    <tableColumn id="41" xr3:uid="{C8BE27FC-C2D4-4FAF-BAA6-7C8958FA4059}" uniqueName="41" name="Surname" queryTableFieldId="223"/>
    <tableColumn id="46" xr3:uid="{824DAABE-8A56-4E33-84ED-E3C3885A3669}" uniqueName="46" name="Pay Element" queryTableFieldId="228"/>
    <tableColumn id="34" xr3:uid="{3CB059AE-64E4-4D1B-8317-08115E004A4E}" uniqueName="34" name="Unit" queryTableFieldId="427"/>
    <tableColumn id="37" xr3:uid="{5CE83F26-BE23-4DE3-87E3-C794B19F5FEB}" uniqueName="37" name="Cost Rate" queryTableFieldId="440"/>
    <tableColumn id="36" xr3:uid="{B5E5BAF7-F38A-4BBE-BF56-F7567AFC1EC7}" uniqueName="36" name="Cost Amount" queryTableFieldId="429"/>
    <tableColumn id="43" xr3:uid="{99C05352-B4E4-4935-94F1-7993FEBA8A6B}" uniqueName="43" name="Serviced" queryTableFieldId="225" dataDxfId="92"/>
    <tableColumn id="42" xr3:uid="{4E24514B-2F2B-4AB8-A588-654EFF44F77F}" uniqueName="42" name="Cost Centre" queryTableFieldId="224"/>
    <tableColumn id="1" xr3:uid="{01DD7726-6AAD-4904-8264-788136DBABAC}" uniqueName="1" name="Employee Category" queryTableFieldId="241"/>
    <tableColumn id="16" xr3:uid="{37D2CA7A-BA87-4313-8386-C995601C87E6}" uniqueName="16" name="Normal Hourly (Qty)" queryTableFieldId="1072" dataDxfId="252"/>
    <tableColumn id="17" xr3:uid="{5E301129-A013-4C6E-9FBF-C0EAD22036E9}" uniqueName="17" name="Normal Hourly ($)" queryTableFieldId="1073" dataDxfId="251"/>
    <tableColumn id="25" xr3:uid="{10EFF958-C377-4CE3-8EB4-0D04394DFAEB}" uniqueName="25" name="Overtime 2.0 (Qty)" queryTableFieldId="1074" dataDxfId="250"/>
    <tableColumn id="26" xr3:uid="{3B7F02E0-B0A6-4125-815D-CF3072C28659}" uniqueName="26" name="Overtime 2.0 ($)" queryTableFieldId="1075" dataDxfId="249"/>
    <tableColumn id="6" xr3:uid="{62499151-2D54-4C47-9D47-48E1E3C415A3}" uniqueName="6" name="Annual Leave (Qty)" queryTableFieldId="1551" dataDxfId="248"/>
    <tableColumn id="7" xr3:uid="{8ADAB347-9D15-432C-BE09-FD867B5C2C10}" uniqueName="7" name="Annual Leave ($)" queryTableFieldId="1552" dataDxfId="247"/>
    <tableColumn id="8" xr3:uid="{E8639B28-F2EC-41F0-A867-EED9E3075FB2}" uniqueName="8" name="Annual Leave Loading (Qty)" queryTableFieldId="1553" dataDxfId="246"/>
    <tableColumn id="9" xr3:uid="{81BCA0CB-43AD-4319-A5CE-4D07966FA3B8}" uniqueName="9" name="Annual Leave Loading ($)" queryTableFieldId="1554" dataDxfId="245"/>
    <tableColumn id="12" xr3:uid="{4582A011-58DA-4526-A6A3-C8F34EE1B28E}" uniqueName="12" name="RDO Taken (Qty)" queryTableFieldId="1519" dataDxfId="244"/>
    <tableColumn id="20" xr3:uid="{22FC0C90-A4F7-433C-9987-9D4145E5CD0A}" uniqueName="20" name="RDO Taken ($)" queryTableFieldId="1520" dataDxfId="243"/>
    <tableColumn id="14" xr3:uid="{8F7C7884-533E-421F-AF63-FD5645F79CA6}" uniqueName="14" name="RDO Bank (Qty)" queryTableFieldId="1088" dataDxfId="242"/>
    <tableColumn id="15" xr3:uid="{786C5397-BA66-4470-BE17-BDE0A87811C2}" uniqueName="15" name="RDO Bank ($)" queryTableFieldId="1089" dataDxfId="241"/>
    <tableColumn id="10" xr3:uid="{99F126DF-58C5-417A-8CF2-499CD81E0597}" uniqueName="10" name="Night Shift 200% (Qty)" queryTableFieldId="1114" dataDxfId="240"/>
    <tableColumn id="11" xr3:uid="{21A01347-AE22-49BA-ADBE-83E3A9241259}" uniqueName="11" name="Night Shift 200% ($)" queryTableFieldId="1115" dataDxfId="239"/>
    <tableColumn id="2" xr3:uid="{F36FDF15-3F34-4A67-A00C-9E2D406273C6}" uniqueName="2" name="Work State" queryTableFieldId="242"/>
    <tableColumn id="3" xr3:uid="{8D29634E-902D-43F5-AA32-8BC12448A68B}" uniqueName="3" name="Payslip No." queryTableFieldId="243"/>
    <tableColumn id="18" xr3:uid="{89FAC714-6E38-4742-9B9E-04BDF23EB8BC}" uniqueName="18" name="Overtime 1.8 (Qty)" queryTableFieldId="1090" dataDxfId="238"/>
    <tableColumn id="19" xr3:uid="{1C845067-4CDA-4600-BA89-170D50AA3C47}" uniqueName="19" name="Overtime 1.8 ($)" queryTableFieldId="1091" dataDxfId="237"/>
    <tableColumn id="22" xr3:uid="{81F88D7C-D0DE-4569-8ACB-4C45E149C15E}" uniqueName="22" name="Nightshift 1.8 (Qty)" queryTableFieldId="1116" dataDxfId="236"/>
    <tableColumn id="23" xr3:uid="{4F8E6AEF-B591-4134-9304-A64C8CA801E0}" uniqueName="23" name="Nightshift 1.8 ($)" queryTableFieldId="1117" dataDxfId="235"/>
    <tableColumn id="29" xr3:uid="{2269A935-4903-418E-9724-FEF8654EA191}" uniqueName="29" name="Rain Work 1.0 (Qty)" queryTableFieldId="1555" dataDxfId="234"/>
    <tableColumn id="31" xr3:uid="{349831F3-C45B-4D5E-9F97-64957A485728}" uniqueName="31" name="Rain Work 1.0 ($)" queryTableFieldId="1556" dataDxfId="233"/>
    <tableColumn id="21" xr3:uid="{A0061DEF-F2E6-49FD-900A-E1DDFD5D7CE1}" uniqueName="21" name="Overtime Productivity Allowance-VIC (Qty)" queryTableFieldId="1282" dataDxfId="232"/>
    <tableColumn id="24" xr3:uid="{C266F24A-1CFE-41D0-8097-40166974816E}" uniqueName="24" name="Overtime Productivity Allowance-VIC ($)" queryTableFieldId="1283" dataDxfId="231"/>
    <tableColumn id="13" xr3:uid="{5BF12E95-1EBE-45A3-A894-E35A88949C18}" uniqueName="13" name="AMWU - Meal Allowance (Meal)" queryTableFieldId="1453" dataDxfId="230"/>
    <tableColumn id="30" xr3:uid="{018F148B-14DE-44CB-8E27-E3D9B62ADE26}" uniqueName="30" name="AMWU - Meal Allowance ($)" queryTableFieldId="1454" dataDxfId="229"/>
    <tableColumn id="27" xr3:uid="{1D8D56BB-EE30-4851-8246-E6DB7D092B35}" uniqueName="27" name="AMWU - Travel &amp; Fares (Travel)" queryTableFieldId="1539" dataDxfId="228"/>
    <tableColumn id="28" xr3:uid="{02DA3462-9FA8-4080-A0D0-98AEF27A13F9}" uniqueName="28" name="AMWU - Travel &amp; Fares ($)" queryTableFieldId="1540" dataDxfId="227"/>
    <tableColumn id="4" xr3:uid="{6120C560-9676-4677-B399-42D85FE08DA7}" uniqueName="4" name="Transaction Type" queryTableFieldId="244"/>
    <tableColumn id="5" xr3:uid="{E3071630-E336-4D78-8FAF-B759FAC70D9E}" uniqueName="5" name="Payment Type" queryTableFieldId="24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65534BC-F552-43A4-835D-A30687747569}" name="Overtime_Meal_Allowance" displayName="Overtime_Meal_Allowance" ref="A1:BB19" tableType="queryTable" totalsRowShown="0">
  <autoFilter ref="A1:BB19" xr:uid="{5DCCA2E4-8661-4A81-9D77-C661C47D16EC}"/>
  <tableColumns count="54">
    <tableColumn id="1" xr3:uid="{5B1C24CE-0BBC-4568-BC51-D4F9ABB857EE}" uniqueName="1" name="Employee Number" queryTableFieldId="1"/>
    <tableColumn id="2" xr3:uid="{6B47F136-80E5-49F0-838A-E6173BD6ACA5}" uniqueName="2" name="Name" queryTableFieldId="2"/>
    <tableColumn id="3" xr3:uid="{9DB67F34-79EB-47A1-826C-E8F8D7011CE2}" uniqueName="3" name="Surname" queryTableFieldId="3"/>
    <tableColumn id="10" xr3:uid="{6F584DC8-10CC-4AD8-BFAB-824A279DD799}" uniqueName="10" name="Pay Element" queryTableFieldId="126"/>
    <tableColumn id="12" xr3:uid="{BA8C0FC0-0827-4ED2-B0CF-691162AD733C}" uniqueName="12" name="Unit" queryTableFieldId="127"/>
    <tableColumn id="41" xr3:uid="{42A51959-1D6E-4E77-90A3-40BBD892F3C3}" uniqueName="41" name="Cost Rate" queryTableFieldId="164"/>
    <tableColumn id="16" xr3:uid="{99164C89-B897-4A55-8EB0-6ED11FF0AA6D}" uniqueName="16" name="Cost Amount" queryTableFieldId="129"/>
    <tableColumn id="4" xr3:uid="{FD2EC8BB-AB98-43B8-8446-A3C593CCF0EF}" uniqueName="4" name="Serviced" queryTableFieldId="4" dataDxfId="91"/>
    <tableColumn id="11" xr3:uid="{FC706574-A6DC-4F0A-9032-3CB5BA4EB0B2}" uniqueName="11" name="Cost Centre" queryTableFieldId="11"/>
    <tableColumn id="5" xr3:uid="{653F3287-CFC1-441D-AEF5-C4AC53EAD21D}" uniqueName="5" name="Employee Category" queryTableFieldId="25"/>
    <tableColumn id="20" xr3:uid="{21A29D34-15A6-472E-BB57-DB287B2301D8}" uniqueName="20" name="Normal Hourly (Qty)" queryTableFieldId="767" dataDxfId="226"/>
    <tableColumn id="21" xr3:uid="{FD24D253-0B71-4A56-B19F-543BDF315756}" uniqueName="21" name="Normal Hourly ($)" queryTableFieldId="768" dataDxfId="225"/>
    <tableColumn id="22" xr3:uid="{ECB1882D-15D1-4F84-A796-5E1A96F59CF1}" uniqueName="22" name="Overtime 2.0 (Qty)" queryTableFieldId="769" dataDxfId="224"/>
    <tableColumn id="23" xr3:uid="{B049B89F-2E27-4819-94BF-C9D528C677E7}" uniqueName="23" name="Overtime 2.0 ($)" queryTableFieldId="770" dataDxfId="223"/>
    <tableColumn id="7" xr3:uid="{1503044D-DA20-4809-B435-17EFB6388D85}" uniqueName="7" name="Annual Leave (Qty)" queryTableFieldId="1304" dataDxfId="222"/>
    <tableColumn id="9" xr3:uid="{464B2E21-C8FB-4315-91B1-D866F2BAAC57}" uniqueName="9" name="Annual Leave ($)" queryTableFieldId="1305" dataDxfId="221"/>
    <tableColumn id="15" xr3:uid="{A8607B63-1441-4655-8A2C-72F371F0061D}" uniqueName="15" name="Annual Leave Loading (Qty)" queryTableFieldId="1306" dataDxfId="220"/>
    <tableColumn id="17" xr3:uid="{254EA7C5-9648-4080-B9BD-40D8F4A44DF6}" uniqueName="17" name="Annual Leave Loading ($)" queryTableFieldId="1307" dataDxfId="219"/>
    <tableColumn id="26" xr3:uid="{FE49D438-7FE4-4400-86CF-59B8C5BCDB2A}" uniqueName="26" name="RDO Taken (Qty)" queryTableFieldId="1272" dataDxfId="218"/>
    <tableColumn id="31" xr3:uid="{3BE85E99-89A3-457B-8767-F2031AA90D3B}" uniqueName="31" name="RDO Taken ($)" queryTableFieldId="1273" dataDxfId="217"/>
    <tableColumn id="24" xr3:uid="{D7D5B3DD-81BD-4BE5-B800-4F5EBC2D1346}" uniqueName="24" name="RDO Bank (Qty)" queryTableFieldId="771" dataDxfId="216"/>
    <tableColumn id="25" xr3:uid="{B5F01930-8B00-4EC4-8F47-D3BB4EFB08B1}" uniqueName="25" name="RDO Bank ($)" queryTableFieldId="772" dataDxfId="215"/>
    <tableColumn id="18" xr3:uid="{1EC53DC6-5C0F-4635-A0EE-AC9A7298F211}" uniqueName="18" name="Night Shift 200% (Qty)" queryTableFieldId="811" dataDxfId="214"/>
    <tableColumn id="19" xr3:uid="{93B8580D-3995-4AD0-B39C-496F4EAC2433}" uniqueName="19" name="Night Shift 200% ($)" queryTableFieldId="812" dataDxfId="213"/>
    <tableColumn id="6" xr3:uid="{87A63BCA-D0A5-4AD4-8A24-EDD84EE31DB4}" uniqueName="6" name="Work State" queryTableFieldId="26"/>
    <tableColumn id="8" xr3:uid="{089B7060-75E5-43AD-AD2F-306DEBB903AF}" uniqueName="8" name="Payslip No." queryTableFieldId="27"/>
    <tableColumn id="37" xr3:uid="{DC869534-58C1-4D5E-BCAC-912253408D53}" uniqueName="37" name="Overtime 1.8 (Qty)" queryTableFieldId="775" dataDxfId="212"/>
    <tableColumn id="38" xr3:uid="{8858E635-A61A-4FD6-B995-EE25BB12E1CF}" uniqueName="38" name="Overtime 1.8 ($)" queryTableFieldId="776" dataDxfId="211"/>
    <tableColumn id="49" xr3:uid="{95A2BB6C-3C00-4A73-98D8-F014B387C9C2}" uniqueName="49" name="Nightshift 1.8 (Qty)" queryTableFieldId="813" dataDxfId="210"/>
    <tableColumn id="50" xr3:uid="{6FFD68A4-42A9-4571-884E-D17004F34C16}" uniqueName="50" name="Nightshift 1.8 ($)" queryTableFieldId="814" dataDxfId="209"/>
    <tableColumn id="39" xr3:uid="{F4F68CF6-E607-4B1E-AC95-4592A6B37F9A}" uniqueName="39" name="Rain Work 1.0 (Qty)" queryTableFieldId="1308" dataDxfId="208"/>
    <tableColumn id="43" xr3:uid="{2BBFECEB-9030-4259-9162-E7EC0F72C6FF}" uniqueName="43" name="Rain Work 1.0 ($)" queryTableFieldId="1309" dataDxfId="207"/>
    <tableColumn id="34" xr3:uid="{90EC4DC1-A384-440E-B437-025E7285CED4}" uniqueName="34" name="Overtime Productivity Allowance-VIC (Qty)" queryTableFieldId="563"/>
    <tableColumn id="35" xr3:uid="{A35196D3-34B6-4F2A-B73E-201F967BA52D}" uniqueName="35" name="Overtime Productivity Allowance-VIC ($)" queryTableFieldId="564"/>
    <tableColumn id="27" xr3:uid="{16B1E66D-D551-4FA7-A629-C986DEA41BF2}" uniqueName="27" name="AMWU - Meal Allowance (Meal)" queryTableFieldId="1111" dataDxfId="206"/>
    <tableColumn id="28" xr3:uid="{6DDE7BD3-1D3E-4A1E-B5E7-EECFB77006F2}" uniqueName="28" name="AMWU - Meal Allowance ($)" queryTableFieldId="1112"/>
    <tableColumn id="40" xr3:uid="{4B7FF331-4159-43AA-B074-70F2D68D9DDC}" uniqueName="40" name="AMWU - Travel &amp; Fares (Travel)" queryTableFieldId="1113" dataDxfId="205"/>
    <tableColumn id="48" xr3:uid="{9005769B-9C6E-46D7-9020-30A660687DB2}" uniqueName="48" name="AMWU - Travel &amp; Fares ($)" queryTableFieldId="1114" dataDxfId="204"/>
    <tableColumn id="52" xr3:uid="{BE5997A2-785A-448A-B61B-A79A8FAF5AF3}" uniqueName="52" name="AWU - Travel Allowance (Travel)" queryTableFieldId="1179" dataDxfId="203"/>
    <tableColumn id="54" xr3:uid="{64CBDFB9-A25F-432B-8945-F1FA6D0F18F4}" uniqueName="54" name="AWU - Travel Allowance ($)" queryTableFieldId="1180" dataDxfId="202"/>
    <tableColumn id="44" xr3:uid="{3DC54C2B-A196-4D8F-9E25-4E7A5058D8A9}" uniqueName="44" name="AWU - Overtime Meal Allowance (Meal)" queryTableFieldId="1228" dataDxfId="201"/>
    <tableColumn id="45" xr3:uid="{CBABDFF5-7892-40AE-A93A-FE7CF50093CD}" uniqueName="45" name="AWU - Overtime Meal Allowance ($)" queryTableFieldId="1229" dataDxfId="200"/>
    <tableColumn id="53" xr3:uid="{C8F1033A-28BF-4EFD-8718-76CDEB06819C}" uniqueName="53" name="Superannuation Salary Sacrifice $" queryTableFieldId="817" dataDxfId="199"/>
    <tableColumn id="51" xr3:uid="{4FE3FD77-B6AB-44D5-9627-C8CD4B3032C4}" uniqueName="51" name="Child Support" queryTableFieldId="1115" dataDxfId="198"/>
    <tableColumn id="42" xr3:uid="{1EE9A9E0-5452-4BB5-BD6F-08928EACD4BB}" uniqueName="42" name="Extra Tax %" queryTableFieldId="1189" dataDxfId="197"/>
    <tableColumn id="46" xr3:uid="{87FD95A4-36B6-489D-8329-2E658C0600A1}" uniqueName="46" name="Gross" queryTableFieldId="986"/>
    <tableColumn id="47" xr3:uid="{543C63CE-4DCA-4797-A9D3-BD57B3E9E6CF}" uniqueName="47" name="Taxable Income" queryTableFieldId="987"/>
    <tableColumn id="29" xr3:uid="{5D8BCFA6-7321-47B9-8530-4FF308EF9309}" uniqueName="29" name="Total Tax" queryTableFieldId="1238" dataDxfId="196"/>
    <tableColumn id="32" xr3:uid="{02DBA6AD-4A9D-4929-8AA1-339B61DC232F}" uniqueName="32" name="Net" queryTableFieldId="1292" dataDxfId="195"/>
    <tableColumn id="36" xr3:uid="{24CBA18D-5F0E-4CA5-961D-0BAC5FCF62D6}" uniqueName="36" name="SG Contribution" queryTableFieldId="1293" dataDxfId="194"/>
    <tableColumn id="13" xr3:uid="{1D76CBDC-4CB2-4AE4-BDA3-02DEAC4DBF30}" uniqueName="13" name="Transaction Type" queryTableFieldId="28"/>
    <tableColumn id="14" xr3:uid="{08291F0C-876D-4BAB-B3AF-21A09D78C994}" uniqueName="14" name="Payment Type" queryTableFieldId="29"/>
    <tableColumn id="30" xr3:uid="{5991FB81-A11D-40AB-AB01-C0C0C5C3228C}" uniqueName="30" name="Site Allowance - VIC (Qty)" queryTableFieldId="138"/>
    <tableColumn id="33" xr3:uid="{88E0B9BF-4A16-4EEB-B544-3103DA79293E}" uniqueName="33" name="Site Allowance - VIC ($)" queryTableFieldId="139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5C9099E-1C34-41EC-B8E3-51BED79C3117}" name="Travel___Fares_Allowance" displayName="Travel___Fares_Allowance" ref="A1:BL21" tableType="queryTable" totalsRowShown="0">
  <autoFilter ref="A1:BL21" xr:uid="{0A0A62E3-66B5-4BFB-B123-9E77363D3777}"/>
  <sortState xmlns:xlrd2="http://schemas.microsoft.com/office/spreadsheetml/2017/richdata2" ref="A2:BL21">
    <sortCondition ref="I1:I21"/>
  </sortState>
  <tableColumns count="64">
    <tableColumn id="1" xr3:uid="{92A85CA9-46C6-4768-B1AC-B8245C9D29F4}" uniqueName="1" name="Employee Number" queryTableFieldId="1" dataDxfId="193"/>
    <tableColumn id="2" xr3:uid="{1BB7328F-982F-4EC6-BACE-6CBBF419618E}" uniqueName="2" name="Name" queryTableFieldId="2" dataDxfId="192"/>
    <tableColumn id="3" xr3:uid="{8FC31DE4-4FA9-4E60-9F9E-F6E767124D5D}" uniqueName="3" name="Surname" queryTableFieldId="3" dataDxfId="191"/>
    <tableColumn id="5" xr3:uid="{D6338984-97EF-425E-8027-F442002A13AA}" uniqueName="5" name="Pay Element" queryTableFieldId="5" dataDxfId="190"/>
    <tableColumn id="6" xr3:uid="{1240104D-9BC4-4064-BE8C-D39CBB1D7ED7}" uniqueName="6" name="Unit" queryTableFieldId="6"/>
    <tableColumn id="10" xr3:uid="{538B6F15-9EFB-4203-8C37-2926B0157E1F}" uniqueName="10" name="Cost Rate" queryTableFieldId="16"/>
    <tableColumn id="11" xr3:uid="{151EEDAF-FFD8-4B46-9948-35443CC72520}" uniqueName="11" name="Cost Amount" queryTableFieldId="17"/>
    <tableColumn id="4" xr3:uid="{E3EC5B3B-FF1D-4AA6-A8D5-93223DBEC595}" uniqueName="4" name="Serviced" queryTableFieldId="4" dataDxfId="90"/>
    <tableColumn id="9" xr3:uid="{EFB8F9AF-DBE3-4C2F-9F01-C1B0DECBC803}" uniqueName="9" name="Cost Centre" queryTableFieldId="9" dataDxfId="189"/>
    <tableColumn id="17" xr3:uid="{7BBF093F-7D00-439A-8361-699FB5B8B485}" uniqueName="17" name="Employee Category" queryTableFieldId="31"/>
    <tableColumn id="16" xr3:uid="{F6989757-7CF7-4A4F-87FC-035024797775}" uniqueName="16" name="Normal Hourly (Qty)" queryTableFieldId="803" dataDxfId="188"/>
    <tableColumn id="22" xr3:uid="{226A81D9-BC81-41F8-B271-2EF9BA98A510}" uniqueName="22" name="Normal Hourly ($)" queryTableFieldId="804" dataDxfId="187"/>
    <tableColumn id="23" xr3:uid="{4968DBEC-927A-44AE-B295-ADA65283B32B}" uniqueName="23" name="Overtime 2.0 (Qty)" queryTableFieldId="805" dataDxfId="186"/>
    <tableColumn id="24" xr3:uid="{47C2B410-6447-4AA8-842F-595BBEF12E34}" uniqueName="24" name="Overtime 2.0 ($)" queryTableFieldId="806" dataDxfId="185"/>
    <tableColumn id="7" xr3:uid="{EE389C7C-8F95-4D32-A1A0-B5EB88DEDED9}" uniqueName="7" name="Annual Leave (Qty)" queryTableFieldId="1352" dataDxfId="184"/>
    <tableColumn id="8" xr3:uid="{9C45B223-C9E8-4F90-ADF2-BF395B3C2B4C}" uniqueName="8" name="Annual Leave ($)" queryTableFieldId="1353" dataDxfId="183"/>
    <tableColumn id="12" xr3:uid="{2665FBA1-309D-4E37-90E1-4A9BB6897C24}" uniqueName="12" name="Annual Leave Loading (Qty)" queryTableFieldId="1354" dataDxfId="182"/>
    <tableColumn id="13" xr3:uid="{C07A0FFC-394A-4FCB-B176-B9585A6124BF}" uniqueName="13" name="Annual Leave Loading ($)" queryTableFieldId="1355" dataDxfId="181"/>
    <tableColumn id="26" xr3:uid="{A0B57071-555A-4679-B1E2-F1F046561D14}" uniqueName="26" name="RDO Taken (Qty)" queryTableFieldId="1320" dataDxfId="180"/>
    <tableColumn id="35" xr3:uid="{7AE7A6F5-292A-46DC-9F84-AD33AA479060}" uniqueName="35" name="RDO Taken ($)" queryTableFieldId="1321" dataDxfId="179"/>
    <tableColumn id="25" xr3:uid="{D1478493-E89E-4EA0-A8E9-68AB6D88ABF3}" uniqueName="25" name="RDO Bank (Qty)" queryTableFieldId="807" dataDxfId="178"/>
    <tableColumn id="27" xr3:uid="{BB3503F4-99FE-47E7-9D7A-08A66CC5161F}" uniqueName="27" name="RDO Bank ($)" queryTableFieldId="808" dataDxfId="177"/>
    <tableColumn id="14" xr3:uid="{8F332385-8E57-48FB-BD3A-E18BB70E898E}" uniqueName="14" name="Night Shift 200% (Qty)" queryTableFieldId="823"/>
    <tableColumn id="15" xr3:uid="{5BB4A49C-4B26-4B40-BA37-F5A7E0B2869D}" uniqueName="15" name="Night Shift 200% ($)" queryTableFieldId="824"/>
    <tableColumn id="18" xr3:uid="{A117E243-B59C-4D00-8F08-90BE6EC38C91}" uniqueName="18" name="Work State" queryTableFieldId="32"/>
    <tableColumn id="19" xr3:uid="{EFD158C0-7025-45D9-B4B7-367DA0845193}" uniqueName="19" name="Payslip No." queryTableFieldId="33" dataDxfId="176"/>
    <tableColumn id="33" xr3:uid="{453FEECE-9FBA-4974-9036-178C891146B2}" uniqueName="33" name="Overtime 1.8 (Qty)" queryTableFieldId="811" dataDxfId="175"/>
    <tableColumn id="34" xr3:uid="{3A95D13E-13E6-4602-953B-6E0FE53A3AD3}" uniqueName="34" name="Overtime 1.8 ($)" queryTableFieldId="812" dataDxfId="174"/>
    <tableColumn id="43" xr3:uid="{633F7DB0-C7A4-48F7-A90D-839F0A961DBC}" uniqueName="43" name="Nightshift 1.8 (Qty)" queryTableFieldId="825"/>
    <tableColumn id="44" xr3:uid="{5AD9F7EE-57C6-42F1-9CAC-E7EFFE15CED9}" uniqueName="44" name="Nightshift 1.8 ($)" queryTableFieldId="826"/>
    <tableColumn id="41" xr3:uid="{F178783C-7D05-4A58-BE5E-612A820CC072}" uniqueName="41" name="Rain Work 1.0 (Qty)" queryTableFieldId="1356" dataDxfId="173"/>
    <tableColumn id="42" xr3:uid="{B8A6DEB8-1A31-4F7E-8CE1-6ABE0C84AD43}" uniqueName="42" name="Rain Work 1.0 ($)" queryTableFieldId="1357" dataDxfId="172"/>
    <tableColumn id="36" xr3:uid="{D36CB59E-A148-42D6-AE05-D02C48898BDB}" uniqueName="36" name="Overtime Productivity Allowance-VIC (Qty)" queryTableFieldId="601"/>
    <tableColumn id="37" xr3:uid="{D2EEC7B1-7595-4896-9523-83F96BE418B6}" uniqueName="37" name="Overtime Productivity Allowance-VIC ($)" queryTableFieldId="602"/>
    <tableColumn id="28" xr3:uid="{556ADE5E-9084-4442-8D68-EBBADA06471D}" uniqueName="28" name="AMWU - Meal Allowance (Meal)" queryTableFieldId="1155"/>
    <tableColumn id="29" xr3:uid="{1E1CEB1D-F7AD-4FC7-934B-8C179830C45C}" uniqueName="29" name="AMWU - Meal Allowance ($)" queryTableFieldId="1156"/>
    <tableColumn id="38" xr3:uid="{A41E1FA8-51B8-4A72-A46F-5B56F3F5CF31}" uniqueName="38" name="AMWU - Travel &amp; Fares (Travel)" queryTableFieldId="1157"/>
    <tableColumn id="62" xr3:uid="{E2C6605A-D3AC-48DA-93D8-13FDCDE3BD5A}" uniqueName="62" name="AMWU - Travel &amp; Fares ($)" queryTableFieldId="1158"/>
    <tableColumn id="50" xr3:uid="{CBFB41ED-9BA6-43A9-9275-CB673224A9DF}" uniqueName="50" name="AWU - Travel Allowance (Travel)" queryTableFieldId="1223" dataDxfId="171"/>
    <tableColumn id="64" xr3:uid="{4EE555F3-6FFF-4B24-A1E3-37460FE167F4}" uniqueName="64" name="AWU - Travel Allowance ($)" queryTableFieldId="1224" dataDxfId="170"/>
    <tableColumn id="45" xr3:uid="{C2089CD2-DAC3-4C4F-AAF9-23E8C13149A0}" uniqueName="45" name="AWU - Overtime Meal Allowance (Meal)" queryTableFieldId="1272" dataDxfId="169"/>
    <tableColumn id="47" xr3:uid="{0DD21366-4EE2-4B47-9E17-57418B6E781E}" uniqueName="47" name="AWU - Overtime Meal Allowance ($)" queryTableFieldId="1273" dataDxfId="168"/>
    <tableColumn id="49" xr3:uid="{BE074893-A39E-4803-A7B2-A9447DDD7957}" uniqueName="49" name="Superannuation Salary Sacrifice $" queryTableFieldId="831"/>
    <tableColumn id="63" xr3:uid="{0027A5A6-5990-460C-9BA4-ABBCA6838491}" uniqueName="63" name="Child Support" queryTableFieldId="1159"/>
    <tableColumn id="48" xr3:uid="{AE378ECE-C75D-4874-85D0-1522C93F447B}" uniqueName="48" name="Extra Tax %" queryTableFieldId="1233" dataDxfId="167"/>
    <tableColumn id="51" xr3:uid="{EE3C0DD5-931B-47B6-B115-A5073A0E1DA1}" uniqueName="51" name="Gross" queryTableFieldId="833"/>
    <tableColumn id="52" xr3:uid="{2B5D76A9-6D46-4F05-A291-C71E046E89F6}" uniqueName="52" name="Taxable Income" queryTableFieldId="834"/>
    <tableColumn id="53" xr3:uid="{8F8E5912-CE9D-47E8-A6F7-75FD1F76C719}" uniqueName="53" name="Total Tax" queryTableFieldId="835"/>
    <tableColumn id="54" xr3:uid="{50B91A8C-6B39-42A2-BDAC-2C1F624F30FE}" uniqueName="54" name="Net" queryTableFieldId="836"/>
    <tableColumn id="55" xr3:uid="{F16DF4A6-6DFF-4587-8AD8-8FB23D44BA78}" uniqueName="55" name="SG Contribution" queryTableFieldId="837"/>
    <tableColumn id="57" xr3:uid="{78F8F5A2-0E01-46B1-AA54-3B1A795F6294}" uniqueName="57" name="Severance (Protect)" queryTableFieldId="839"/>
    <tableColumn id="58" xr3:uid="{8F2C9728-AB0A-4122-B077-7E3BE7F5CB7E}" uniqueName="58" name="Income Protection (WAGEGUARD)" queryTableFieldId="840"/>
    <tableColumn id="56" xr3:uid="{DBB01219-07E6-411E-9591-35D0FBF50BB1}" uniqueName="56" name="AWU - Severance (Protect)" queryTableFieldId="1274" dataDxfId="166"/>
    <tableColumn id="61" xr3:uid="{BB61C952-C1DB-4923-B186-C6BE54A86C10}" uniqueName="61" name="AWU - Mental Health Levy" queryTableFieldId="1275" dataDxfId="165"/>
    <tableColumn id="65" xr3:uid="{7239DA08-36AC-41C1-8C79-B387CEA05E7F}" uniqueName="65" name="AWU Chifley Insurance" queryTableFieldId="1368" dataDxfId="164"/>
    <tableColumn id="60" xr3:uid="{EB885572-6930-417C-9D14-44173EF65D88}" uniqueName="60" name="Column1" queryTableFieldId="842"/>
    <tableColumn id="46" xr3:uid="{49487330-73C4-42A6-B2A3-64CC7494A637}" uniqueName="46" name="_1" queryTableFieldId="1030" dataDxfId="163"/>
    <tableColumn id="32" xr3:uid="{37344D75-09F2-4531-ADFF-A2FA1132C4A4}" uniqueName="32" name="_2" queryTableFieldId="1286" dataDxfId="162"/>
    <tableColumn id="39" xr3:uid="{43DEDFA8-0E1C-4CBE-93B8-A8BB013C4EE8}" uniqueName="39" name="_3" queryTableFieldId="1340" dataDxfId="161"/>
    <tableColumn id="40" xr3:uid="{4F28285C-5F79-463B-9AFF-1DBBC9DF43BA}" uniqueName="40" name="_4" queryTableFieldId="1341" dataDxfId="160"/>
    <tableColumn id="20" xr3:uid="{4110FA2E-EEB3-4301-92BF-28BF5D3CA7D7}" uniqueName="20" name="Transaction Type" queryTableFieldId="34"/>
    <tableColumn id="21" xr3:uid="{94665F3F-FCFD-4E8D-8AF9-40DEDD6E9CB1}" uniqueName="21" name="Payment Type" queryTableFieldId="35"/>
    <tableColumn id="30" xr3:uid="{8316B80D-4462-4832-974D-F936B85C5213}" uniqueName="30" name="Site Allowance - VIC (Qty)" queryTableFieldId="168"/>
    <tableColumn id="31" xr3:uid="{39664E67-5C50-46D1-BD8C-1F306326BDF2}" uniqueName="31" name="Site Allowance - VIC ($)" queryTableFieldId="16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0C36235-AE6D-4789-999A-96BDEE9529C1}" name="RDO_Worked" displayName="RDO_Worked" ref="A1:BH21" tableType="queryTable" totalsRowShown="0">
  <autoFilter ref="A1:BH21" xr:uid="{A0C36235-AE6D-4789-999A-96BDEE9529C1}"/>
  <tableColumns count="60">
    <tableColumn id="1" xr3:uid="{E99A592E-B6E7-43AE-9FE5-CA409F1B3328}" uniqueName="1" name="Employee Number" queryTableFieldId="1"/>
    <tableColumn id="2" xr3:uid="{AE4E505B-A9C7-4BA6-9052-A759C92CDF9D}" uniqueName="2" name="Name" queryTableFieldId="2"/>
    <tableColumn id="3" xr3:uid="{718DDF73-5BB7-441E-A06D-5C067F2BBEAD}" uniqueName="3" name="Surname" queryTableFieldId="3"/>
    <tableColumn id="4" xr3:uid="{6BC53660-2996-4AF6-BA38-0EB6116FB725}" uniqueName="4" name="Pay Element" queryTableFieldId="4"/>
    <tableColumn id="10" xr3:uid="{EE394D46-1E75-4E82-B2E4-326A80B6B868}" uniqueName="10" name="Employee Category" queryTableFieldId="10"/>
    <tableColumn id="9" xr3:uid="{BF5C1476-D761-4F2F-B035-25F7B61C0A0B}" uniqueName="9" name="Cost Centre" queryTableFieldId="9"/>
    <tableColumn id="27" xr3:uid="{4E078FB3-B7C8-4D19-972F-379C72B35508}" uniqueName="27" name="Work State" queryTableFieldId="27"/>
    <tableColumn id="28" xr3:uid="{BE0C7A0A-CDE7-4179-A5F1-926EA313297E}" uniqueName="28" name="Payslip No." queryTableFieldId="28"/>
    <tableColumn id="33" xr3:uid="{DED68181-0C09-4C53-9338-82F758384D5D}" uniqueName="33" name="Transaction Type" queryTableFieldId="33"/>
    <tableColumn id="8" xr3:uid="{6101A790-2C68-4874-818F-2301700011D2}" uniqueName="8" name="Serviced" queryTableFieldId="8" dataDxfId="89"/>
    <tableColumn id="11" xr3:uid="{504DB293-9BBD-46DB-8A00-107DFDAB33D9}" uniqueName="11" name="Normal Hourly (Qty)" queryTableFieldId="11"/>
    <tableColumn id="12" xr3:uid="{49F36B2F-76EE-46C5-84F2-913B1895C707}" uniqueName="12" name="Normal Hourly ($)" queryTableFieldId="12"/>
    <tableColumn id="13" xr3:uid="{BD46D867-23B3-4189-9D72-A4EC821C78F7}" uniqueName="13" name="Overtime 2.0 (Qty)" queryTableFieldId="13"/>
    <tableColumn id="14" xr3:uid="{C3524C03-21D0-47CF-9E80-B746C6DB427D}" uniqueName="14" name="Overtime 2.0 ($)" queryTableFieldId="14"/>
    <tableColumn id="5" xr3:uid="{71C49407-DBC2-4F2E-9838-F099959493C5}" uniqueName="5" name="Annual Leave (Qty)" queryTableFieldId="514" dataDxfId="159"/>
    <tableColumn id="6" xr3:uid="{06F69FDE-7F5C-4DC1-A6D1-FED550777DB3}" uniqueName="6" name="Annual Leave ($)" queryTableFieldId="515" dataDxfId="158"/>
    <tableColumn id="7" xr3:uid="{C7E5CDB7-1A4A-42A3-B7A1-6B38F115B394}" uniqueName="7" name="Annual Leave Loading (Qty)" queryTableFieldId="516" dataDxfId="157"/>
    <tableColumn id="15" xr3:uid="{32843550-D629-489B-AF65-4B352A6E5085}" uniqueName="15" name="Annual Leave Loading ($)" queryTableFieldId="517" dataDxfId="156"/>
    <tableColumn id="16" xr3:uid="{939A9AC9-4CA7-4FE5-89E1-8BF7B623EB2E}" uniqueName="16" name="RDO Taken (Qty)" queryTableFieldId="482" dataDxfId="155"/>
    <tableColumn id="20" xr3:uid="{B894EA62-14BD-41FE-84B2-9C1F9999E32C}" uniqueName="20" name="RDO Taken ($)" queryTableFieldId="483" dataDxfId="154"/>
    <tableColumn id="21" xr3:uid="{6304C0F6-8049-4E02-8A40-117BE61A0CCC}" uniqueName="21" name="RDO Bank (Qty)" queryTableFieldId="21"/>
    <tableColumn id="22" xr3:uid="{6A676610-FEF4-4121-AEF6-F373421D6E9E}" uniqueName="22" name="RDO Bank ($)" queryTableFieldId="22"/>
    <tableColumn id="25" xr3:uid="{B1B8835D-144A-43C5-9222-C27BCBEA6959}" uniqueName="25" name="Night Shift 200% (Qty)" queryTableFieldId="25"/>
    <tableColumn id="26" xr3:uid="{52FB0580-1491-491F-AB16-5DE93094F804}" uniqueName="26" name="Night Shift 200% ($)" queryTableFieldId="26"/>
    <tableColumn id="34" xr3:uid="{A5EA9DF0-D4B1-4FF9-9CD6-1F145C82C266}" uniqueName="34" name="Payment Type" queryTableFieldId="34"/>
    <tableColumn id="56" xr3:uid="{1E8EAA64-6B07-487C-B6D2-16B446215E96}" uniqueName="56" name="Site Allowance - VIC (Qty)" queryTableFieldId="56"/>
    <tableColumn id="29" xr3:uid="{CEF11386-75F0-4F67-B3FE-EE55D44561AE}" uniqueName="29" name="Overtime 1.8 (Qty)" queryTableFieldId="29"/>
    <tableColumn id="30" xr3:uid="{DEB386DC-B8DF-49D5-8A5B-C3F673745163}" uniqueName="30" name="Overtime 1.8 ($)" queryTableFieldId="30"/>
    <tableColumn id="31" xr3:uid="{FEDB8D5C-906F-4309-989A-446708FB2BAF}" uniqueName="31" name="Nightshift 1.8 (Qty)" queryTableFieldId="31"/>
    <tableColumn id="32" xr3:uid="{21F020B3-2119-4B3F-8056-E73F55ED5533}" uniqueName="32" name="Nightshift 1.8 ($)" queryTableFieldId="32"/>
    <tableColumn id="39" xr3:uid="{A5286EEB-A421-4104-BBAE-616451634718}" uniqueName="39" name="Rain Work 1.0 (Qty)" queryTableFieldId="518" dataDxfId="153"/>
    <tableColumn id="40" xr3:uid="{B9B6B3FA-80E4-443D-BB69-BDE22C4738C3}" uniqueName="40" name="Rain Work 1.0 ($)" queryTableFieldId="519" dataDxfId="152"/>
    <tableColumn id="35" xr3:uid="{50F80BFB-88AB-4F49-A74C-6D49F9686D3A}" uniqueName="35" name="Overtime Productivity Allowance-VIC (Qty)" queryTableFieldId="35"/>
    <tableColumn id="36" xr3:uid="{FA4201A3-1896-4E3A-ADE0-C290B1EEC21D}" uniqueName="36" name="Overtime Productivity Allowance-VIC ($)" queryTableFieldId="36"/>
    <tableColumn id="17" xr3:uid="{4267E86F-439F-427B-95BD-17A5D07655E1}" uniqueName="17" name="AMWU - Meal Allowance (Meal)" queryTableFieldId="345" dataDxfId="151"/>
    <tableColumn id="23" xr3:uid="{1E5C3D3A-76CF-48DB-B0EB-FDB8AC47D0BE}" uniqueName="23" name="AMWU - Meal Allowance ($)" queryTableFieldId="346" dataDxfId="150"/>
    <tableColumn id="24" xr3:uid="{878BE528-F035-4DC1-93ED-55290266BF29}" uniqueName="24" name="AMWU - Travel &amp; Fares (Travel)" queryTableFieldId="347" dataDxfId="149"/>
    <tableColumn id="58" xr3:uid="{EFD80933-A451-4460-BB51-1853393394CF}" uniqueName="58" name="AMWU - Travel &amp; Fares ($)" queryTableFieldId="348" dataDxfId="148"/>
    <tableColumn id="46" xr3:uid="{5766F225-1B74-4842-86E6-AE6EAE0C465B}" uniqueName="46" name="AWU - Travel Allowance (Travel)" queryTableFieldId="385" dataDxfId="147"/>
    <tableColumn id="60" xr3:uid="{A14F6EAD-9A48-4959-B83B-5F4C904A0B19}" uniqueName="60" name="AWU - Travel Allowance ($)" queryTableFieldId="386" dataDxfId="146"/>
    <tableColumn id="41" xr3:uid="{C7D12B47-8072-4C2A-A80E-4CFB0A6C5092}" uniqueName="41" name="AWU - Overtime Meal Allowance (Meal)" queryTableFieldId="434" dataDxfId="145"/>
    <tableColumn id="42" xr3:uid="{4BA45B18-DB5C-4285-8B1C-0EFD8728F1EF}" uniqueName="42" name="AWU - Overtime Meal Allowance ($)" queryTableFieldId="435" dataDxfId="144"/>
    <tableColumn id="45" xr3:uid="{206701EB-8710-4F47-B6BA-080BD9CA56C0}" uniqueName="45" name="Superannuation Salary Sacrifice $" queryTableFieldId="45"/>
    <tableColumn id="59" xr3:uid="{4A8A7C5F-3B08-4252-A274-6889D381E670}" uniqueName="59" name="Child Support" queryTableFieldId="349" dataDxfId="143"/>
    <tableColumn id="44" xr3:uid="{5D37D3C2-1EC9-42A5-B1D5-B54D1CA6E6EF}" uniqueName="44" name="Extra Tax %" queryTableFieldId="395" dataDxfId="142"/>
    <tableColumn id="47" xr3:uid="{AB30C973-DF60-4CDD-A20C-723FCA41A315}" uniqueName="47" name="Gross" queryTableFieldId="47"/>
    <tableColumn id="48" xr3:uid="{B21C21AB-6132-4CA1-BE63-BF2EEE0ACE05}" uniqueName="48" name="Taxable Income" queryTableFieldId="48"/>
    <tableColumn id="49" xr3:uid="{0DA22C2A-B28A-44ED-82A8-51F48C4F23E4}" uniqueName="49" name="Total Tax" queryTableFieldId="49"/>
    <tableColumn id="50" xr3:uid="{30B77588-AF62-40B8-8835-4FA9A253074D}" uniqueName="50" name="Net" queryTableFieldId="50"/>
    <tableColumn id="51" xr3:uid="{D18ED1AF-7C3D-436B-BBE4-FEF92AFAC716}" uniqueName="51" name="SG Contribution" queryTableFieldId="51"/>
    <tableColumn id="53" xr3:uid="{7842583D-FB73-45C5-BF7C-349BAA94E5E6}" uniqueName="53" name="Severance (Protect)" queryTableFieldId="53"/>
    <tableColumn id="54" xr3:uid="{92FB0A92-677B-4D97-A1EF-1460A707A435}" uniqueName="54" name="Income Protection (WAGEGUARD)" queryTableFieldId="54"/>
    <tableColumn id="43" xr3:uid="{8A35DF41-3438-461A-8733-D74FFFF44800}" uniqueName="43" name="AWU - Severance (Protect)" queryTableFieldId="436" dataDxfId="141"/>
    <tableColumn id="52" xr3:uid="{68B1A62C-3529-4653-8DFD-A3788F63A4BD}" uniqueName="52" name="AWU - Mental Health Levy" queryTableFieldId="437" dataDxfId="140"/>
    <tableColumn id="61" xr3:uid="{2977535D-19E8-41C5-9B30-B472E84E689D}" uniqueName="61" name="AWU Chifley Insurance" queryTableFieldId="530" dataDxfId="139"/>
    <tableColumn id="19" xr3:uid="{3E477EEB-AEF8-46ED-8960-F160058F3BAA}" uniqueName="19" name="_1" queryTableFieldId="220" dataDxfId="138"/>
    <tableColumn id="18" xr3:uid="{F79EEDD4-8A3D-4887-92DC-3227675A6B42}" uniqueName="18" name="_2" queryTableFieldId="448" dataDxfId="137"/>
    <tableColumn id="37" xr3:uid="{D49ABA8D-50D6-4E9F-B803-1CAD90F02FD6}" uniqueName="37" name="_3" queryTableFieldId="502" dataDxfId="136"/>
    <tableColumn id="38" xr3:uid="{3DFFE7C9-50EF-45CC-A2CA-2751E9680DAE}" uniqueName="38" name="_4" queryTableFieldId="503" dataDxfId="135"/>
    <tableColumn id="57" xr3:uid="{41EC67B5-7F5D-4799-9A71-D30B8DAA67FD}" uniqueName="57" name="Site Allowance - VIC ($)" queryTableFieldId="5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05F9D56-07F7-45C5-AEA3-0EE57B832559}" name="Overtime_Productivity_Allowance" displayName="Overtime_Productivity_Allowance" ref="A1:AR12" tableType="queryTable" totalsRowShown="0">
  <autoFilter ref="A1:AR12" xr:uid="{54A58D08-CF90-4AF8-A580-63F314A43B38}"/>
  <tableColumns count="44">
    <tableColumn id="4" xr3:uid="{DD6438BC-8785-4E16-97C4-4419C85B5D8B}" uniqueName="4" name="Employee Number" queryTableFieldId="234"/>
    <tableColumn id="10" xr3:uid="{EBF359C1-25D6-4A9E-9ECE-0D13EE194324}" uniqueName="10" name="Name" queryTableFieldId="235"/>
    <tableColumn id="11" xr3:uid="{BEDE7E21-6365-46A0-904E-BEB6F0C5FF59}" uniqueName="11" name="Surname" queryTableFieldId="236"/>
    <tableColumn id="42" xr3:uid="{F19CBCC2-4C09-42F3-91AE-97E152C546D0}" uniqueName="42" name="Pay Element" queryTableFieldId="42"/>
    <tableColumn id="8" xr3:uid="{E9CB3CFF-DC0E-4699-99EB-B80D72CC4243}" uniqueName="8" name="Unit" queryTableFieldId="197"/>
    <tableColumn id="3" xr3:uid="{008C4EB6-AA49-4B7C-80AC-B6DA741244EF}" uniqueName="3" name="Cost Rate" queryTableFieldId="55"/>
    <tableColumn id="9" xr3:uid="{548BE4C6-29FB-4E2F-B00B-4C847AD82C3F}" uniqueName="9" name="Cost Amount" queryTableFieldId="198"/>
    <tableColumn id="12" xr3:uid="{F3F4CADA-D50E-4B47-AB50-3795F5486ED4}" uniqueName="12" name="Serviced" queryTableFieldId="199" dataDxfId="88"/>
    <tableColumn id="43" xr3:uid="{D5D3299F-D4D0-43A5-9FE0-9B39A423C6C5}" uniqueName="43" name="Cost Centre" queryTableFieldId="43"/>
    <tableColumn id="1" xr3:uid="{3DE41F95-88DE-4F94-B3AE-5E93E4EDBC5A}" uniqueName="1" name="Employee Category" queryTableFieldId="59"/>
    <tableColumn id="21" xr3:uid="{638B7AC7-1B1A-4E0C-A8A7-D9FC963BBA6A}" uniqueName="21" name="Normal Hourly (Qty)" queryTableFieldId="815" dataDxfId="134"/>
    <tableColumn id="22" xr3:uid="{601D3616-C243-4ADD-A177-D88AECFF5EB7}" uniqueName="22" name="Normal Hourly ($)" queryTableFieldId="816" dataDxfId="133"/>
    <tableColumn id="30" xr3:uid="{B5BF8475-58A5-4700-968E-03CC54FF76F0}" uniqueName="30" name="Overtime 2.0 (Qty)" queryTableFieldId="817" dataDxfId="132"/>
    <tableColumn id="33" xr3:uid="{0DECA559-D701-40E9-9EE3-99829DBA457F}" uniqueName="33" name="Overtime 2.0 ($)" queryTableFieldId="818" dataDxfId="131"/>
    <tableColumn id="13" xr3:uid="{5021982D-A7BC-4617-93AE-2288A41EF46E}" uniqueName="13" name="Annual Leave (Qty)" queryTableFieldId="1296" dataDxfId="130"/>
    <tableColumn id="14" xr3:uid="{BCDEC344-E7B8-433D-AF79-862D23D997A7}" uniqueName="14" name="Annual Leave ($)" queryTableFieldId="1297" dataDxfId="129"/>
    <tableColumn id="15" xr3:uid="{48C64F99-9138-432C-BBD8-2FC9D2BF83C6}" uniqueName="15" name="Annual Leave Loading (Qty)" queryTableFieldId="1298" dataDxfId="128"/>
    <tableColumn id="16" xr3:uid="{B82FA5E8-40F6-4CFA-AAD0-198A3B37EF09}" uniqueName="16" name="Annual Leave Loading ($)" queryTableFieldId="1299" dataDxfId="127"/>
    <tableColumn id="29" xr3:uid="{9023A5DA-91DA-456B-9A33-1BD89E30A7D0}" uniqueName="29" name="RDO Taken (Qty)" queryTableFieldId="1264" dataDxfId="126"/>
    <tableColumn id="37" xr3:uid="{3ADECDC8-D180-4A79-8473-2067A126906F}" uniqueName="37" name="RDO Taken ($)" queryTableFieldId="1265" dataDxfId="125"/>
    <tableColumn id="23" xr3:uid="{78A76850-D584-423E-A819-862DAD328D26}" uniqueName="23" name="RDO Bank (Qty)" queryTableFieldId="831" dataDxfId="124"/>
    <tableColumn id="24" xr3:uid="{6767DEBD-674D-459C-9A37-700C390F3B3F}" uniqueName="24" name="RDO Bank ($)" queryTableFieldId="832" dataDxfId="123"/>
    <tableColumn id="17" xr3:uid="{94003ACA-93DD-4E49-AC68-8F3E99936732}" uniqueName="17" name="Night Shift 200% (Qty)" queryTableFieldId="851" dataDxfId="122"/>
    <tableColumn id="18" xr3:uid="{06DD488A-9360-438D-AB24-5D75AEE372D0}" uniqueName="18" name="Night Shift 200% ($)" queryTableFieldId="852" dataDxfId="121"/>
    <tableColumn id="2" xr3:uid="{F6391625-A795-48A1-875C-771414BC79A6}" uniqueName="2" name="Work State" queryTableFieldId="60"/>
    <tableColumn id="5" xr3:uid="{855C3C72-DCA8-4E21-9C8B-ED0EABC9194B}" uniqueName="5" name="Payslip No." queryTableFieldId="61"/>
    <tableColumn id="25" xr3:uid="{237D29ED-5E2B-4564-8649-0326B2DEF154}" uniqueName="25" name="Overtime 1.8 (Qty)" queryTableFieldId="833" dataDxfId="120"/>
    <tableColumn id="28" xr3:uid="{71C1B131-F829-4D3F-BABE-5E244E250EDE}" uniqueName="28" name="Overtime 1.8 ($)" queryTableFieldId="834" dataDxfId="119"/>
    <tableColumn id="26" xr3:uid="{645632F7-794C-465A-BFB4-CF4B2D7BB608}" uniqueName="26" name="Nightshift 1.8 (Qty)" queryTableFieldId="853" dataDxfId="118"/>
    <tableColumn id="27" xr3:uid="{4ADC005E-1347-4961-99A6-6B995A66E782}" uniqueName="27" name="Nightshift 1.8 ($)" queryTableFieldId="854" dataDxfId="117"/>
    <tableColumn id="41" xr3:uid="{1A7A99FF-BF19-4EC9-9AC5-6B117E1D957C}" uniqueName="41" name="Rain Work 1.0 (Qty)" queryTableFieldId="1300" dataDxfId="116"/>
    <tableColumn id="44" xr3:uid="{61C2C4F4-7773-48EC-96FA-3189339C8FAF}" uniqueName="44" name="Rain Work 1.0 ($)" queryTableFieldId="1301" dataDxfId="115"/>
    <tableColumn id="6" xr3:uid="{797CDE82-097B-442D-8340-3EA6AC4AF017}" uniqueName="6" name="Transaction Type" queryTableFieldId="62"/>
    <tableColumn id="7" xr3:uid="{E9DAC98D-5340-418C-8684-7E36B885191F}" uniqueName="7" name="Payment Type" queryTableFieldId="63"/>
    <tableColumn id="19" xr3:uid="{A0523D82-521A-4A72-8BE9-F4A6EDC3B998}" uniqueName="19" name="AMWU - Meal Allowance (Meal)" queryTableFieldId="1147" dataDxfId="114"/>
    <tableColumn id="20" xr3:uid="{0103501E-8B9B-4ECC-9ECD-62B8DE7E6E7F}" uniqueName="20" name="AMWU - Meal Allowance ($)" queryTableFieldId="1148" dataDxfId="113"/>
    <tableColumn id="39" xr3:uid="{C650110A-B6B8-42E8-A26E-B286A41BE74D}" uniqueName="39" name="AMWU - Travel &amp; Fares (Travel)" queryTableFieldId="1149" dataDxfId="112"/>
    <tableColumn id="31" xr3:uid="{7344E17F-16DD-4510-AFBD-F5BB97D0F8D3}" uniqueName="31" name="AMWU - Travel &amp; Fares ($)" queryTableFieldId="1197" dataDxfId="111"/>
    <tableColumn id="35" xr3:uid="{77C98FBA-0DB0-4CE6-B665-C66F86BD2ED3}" uniqueName="35" name="AWU - Travel Allowance (Travel)" queryTableFieldId="1198" dataDxfId="110"/>
    <tableColumn id="36" xr3:uid="{7BDEA398-8DF1-4457-A1BE-461327D674AA}" uniqueName="36" name="AWU - Travel Allowance ($)" queryTableFieldId="1199" dataDxfId="109"/>
    <tableColumn id="38" xr3:uid="{63B83136-6316-4580-B61D-43793336CA31}" uniqueName="38" name="AWU - Overtime Meal Allowance (Meal)" queryTableFieldId="1284" dataDxfId="108"/>
    <tableColumn id="40" xr3:uid="{49A41D99-C8F0-4A47-A492-9DFF1A423C81}" uniqueName="40" name="AWU - Overtime Meal Allowance ($)" queryTableFieldId="1285" dataDxfId="107"/>
    <tableColumn id="32" xr3:uid="{F09D74DE-88B5-4080-95DB-31947266F3DD}" uniqueName="32" name="Site Allowance - VIC (Qty)" queryTableFieldId="208"/>
    <tableColumn id="34" xr3:uid="{45DF30B8-6F92-401F-B094-1D0167433CB7}" uniqueName="34" name="Site Allowance - VIC ($)" queryTableFieldId="209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0D0FEF5-377D-4500-837E-32D7FFAD2DAC}" name="RDO_Payout" displayName="RDO_Payout" ref="A1:BI2" tableType="queryTable" insertRow="1" totalsRowShown="0">
  <autoFilter ref="A1:BI2" xr:uid="{24A446A0-761D-4A98-862A-6C46FFB6E96F}"/>
  <tableColumns count="61">
    <tableColumn id="42" xr3:uid="{424391CF-1B85-4A09-A47C-094A1F7C2D3F}" uniqueName="42" name="Employee Number" queryTableFieldId="42"/>
    <tableColumn id="43" xr3:uid="{EFEE0C0F-2E5F-493C-97F8-2E7857E99B3C}" uniqueName="43" name="Name" queryTableFieldId="43"/>
    <tableColumn id="44" xr3:uid="{8C6C5FCB-6D54-43E7-AD83-5F864D648CB6}" uniqueName="44" name="Surname" queryTableFieldId="44"/>
    <tableColumn id="51" xr3:uid="{43514503-C009-4317-9F18-3847C2ACA98E}" uniqueName="51" name="Employee Category" queryTableFieldId="51"/>
    <tableColumn id="45" xr3:uid="{0767E9A3-7EDF-4ABD-91B1-E81C96DCF516}" uniqueName="45" name="Cost Centre" queryTableFieldId="45"/>
    <tableColumn id="50" xr3:uid="{FD776450-856D-4CD6-AB3E-FC892384A2DB}" uniqueName="50" name="Pay Element" queryTableFieldId="50"/>
    <tableColumn id="52" xr3:uid="{E26E321E-CEF3-4D82-B062-2A88A04C68BB}" uniqueName="52" name="Work State" queryTableFieldId="52"/>
    <tableColumn id="53" xr3:uid="{853C3CA5-32DB-4870-AE84-BF19497F042D}" uniqueName="53" name="Payslip No." queryTableFieldId="53"/>
    <tableColumn id="54" xr3:uid="{AA5C9260-5FF8-4FC4-9409-5BC8040165C3}" uniqueName="54" name="Transaction Type" queryTableFieldId="54"/>
    <tableColumn id="49" xr3:uid="{2C745118-AC6E-4FF3-91CF-B1E777E4B78B}" uniqueName="49" name="Serviced" queryTableFieldId="49"/>
    <tableColumn id="6" xr3:uid="{6A618DD9-F842-4406-B240-9D90419C0594}" uniqueName="6" name="Normal Hourly (Qty)" queryTableFieldId="931"/>
    <tableColumn id="8" xr3:uid="{94D8F3B5-8997-4137-A4AA-FAD1383414FF}" uniqueName="8" name="Normal Hourly ($)" queryTableFieldId="932"/>
    <tableColumn id="9" xr3:uid="{8E30762C-CD9D-4E84-BCB5-F53B996EE8F1}" uniqueName="9" name="Overtime 2.0 (Qty)" queryTableFieldId="933"/>
    <tableColumn id="23" xr3:uid="{F0D33B57-7BF9-4C2B-8CA5-79A923178391}" uniqueName="23" name="Overtime 2.0 ($)" queryTableFieldId="934"/>
    <tableColumn id="1" xr3:uid="{72D439C3-76C1-4F41-9D5C-E8AE22D1B8E7}" uniqueName="1" name="Annual Leave (Qty)" queryTableFieldId="1489"/>
    <tableColumn id="2" xr3:uid="{9C3AF053-7377-477D-ADDC-4A04E40DAF57}" uniqueName="2" name="Annual Leave ($)" queryTableFieldId="1490"/>
    <tableColumn id="3" xr3:uid="{4B6A670E-4FD8-4596-8C1A-89405F54DDF7}" uniqueName="3" name="Annual Leave Loading (Qty)" queryTableFieldId="1491"/>
    <tableColumn id="4" xr3:uid="{F03AFAC8-01F0-45BA-945B-F7823442A677}" uniqueName="4" name="Annual Leave Loading ($)" queryTableFieldId="1492"/>
    <tableColumn id="10" xr3:uid="{B34B668B-6625-43E9-ABC2-DD5D46CB4E2D}" uniqueName="10" name="RDO Taken (Qty)" queryTableFieldId="1457"/>
    <tableColumn id="19" xr3:uid="{3FAA781E-7F26-436C-8A20-37395FB03103}" uniqueName="19" name="RDO Taken ($)" queryTableFieldId="1458"/>
    <tableColumn id="12" xr3:uid="{312AED17-D40B-491F-BA47-CA95BB95474C}" uniqueName="12" name="RDO Bank (Qty)" queryTableFieldId="947"/>
    <tableColumn id="13" xr3:uid="{6EDDCCDF-B171-4C5A-AC91-0D5E3130ED91}" uniqueName="13" name="RDO Bank ($)" queryTableFieldId="948"/>
    <tableColumn id="5" xr3:uid="{63D44D66-66DC-4CA7-8E90-77149173E91B}" uniqueName="5" name="Night Shift 200% (Qty)" queryTableFieldId="971"/>
    <tableColumn id="7" xr3:uid="{5271B83C-07FA-4EB0-B03A-823948500DAB}" uniqueName="7" name="Night Shift 200% ($)" queryTableFieldId="972"/>
    <tableColumn id="55" xr3:uid="{BAF50BCD-EF48-4D4E-97CB-9497B96276D7}" uniqueName="55" name="Payment Type" queryTableFieldId="55"/>
    <tableColumn id="17" xr3:uid="{A4BD8235-BA94-4FFE-A619-774892814CDA}" uniqueName="17" name="Site Allowance - VIC (Qty)" queryTableFieldId="422"/>
    <tableColumn id="14" xr3:uid="{EC448580-1DEA-401E-910B-5584AAFAA05F}" uniqueName="14" name="Overtime 1.8 (Qty)" queryTableFieldId="949"/>
    <tableColumn id="15" xr3:uid="{A3C084C8-BCFB-427F-965A-1B20C3B6FDB3}" uniqueName="15" name="Overtime 1.8 ($)" queryTableFieldId="950"/>
    <tableColumn id="32" xr3:uid="{FE1190D7-18C8-4464-9CAD-491876EFD5BE}" uniqueName="32" name="Nightshift 1.8 (Qty)" queryTableFieldId="973"/>
    <tableColumn id="33" xr3:uid="{CAFB11E9-386F-4F79-8FBA-FA5BA9178C51}" uniqueName="33" name="Nightshift 1.8 ($)" queryTableFieldId="974"/>
    <tableColumn id="28" xr3:uid="{F5F5FF92-1F3D-4809-A853-D75316DCB0A5}" uniqueName="28" name="Rain Work 1.0 (Qty)" queryTableFieldId="1493"/>
    <tableColumn id="29" xr3:uid="{66268DD0-AC33-4EE3-8455-58AFCE8FF3F8}" uniqueName="29" name="Rain Work 1.0 ($)" queryTableFieldId="1494"/>
    <tableColumn id="21" xr3:uid="{34444CF2-78D0-4849-8B40-3730CDAE9046}" uniqueName="21" name="Overtime Productivity Allowance-VIC (Qty)" queryTableFieldId="746"/>
    <tableColumn id="22" xr3:uid="{3411437F-D636-43B4-B697-275FD10EDB70}" uniqueName="22" name="Overtime Productivity Allowance-VIC ($)" queryTableFieldId="747"/>
    <tableColumn id="18" xr3:uid="{D30B6AD7-CD69-4FA8-BF86-2E6B364E3D11}" uniqueName="18" name="Site Allowance - VIC ($)" queryTableFieldId="423"/>
    <tableColumn id="25" xr3:uid="{FD28957C-C2AE-4BDA-8222-DBD88F684FB0}" uniqueName="25" name="AMWU - Travel &amp; Fares (Travel)" queryTableFieldId="1299"/>
    <tableColumn id="59" xr3:uid="{8D4724B6-62FF-4CCB-8826-1145F0C36C38}" uniqueName="59" name="AMWU - Travel &amp; Fares ($)" queryTableFieldId="1300"/>
    <tableColumn id="11" xr3:uid="{457FFC77-EAFC-41AC-AD80-8495CEAF190E}" uniqueName="11" name="AMWU - Meal Allowance (Meal)" queryTableFieldId="1297"/>
    <tableColumn id="37" xr3:uid="{88D5F8A7-623C-4DE3-82B3-093C4F7E8A7E}" uniqueName="37" name="AWU - Travel Allowance (Travel)" queryTableFieldId="1360"/>
    <tableColumn id="61" xr3:uid="{4B67B541-2F71-48F6-AABE-DA56ACF16EF4}" uniqueName="61" name="AWU - Travel Allowance ($)" queryTableFieldId="1361"/>
    <tableColumn id="30" xr3:uid="{310D68ED-DE01-4D14-AB73-50F6027AF1B4}" uniqueName="30" name="AWU - Overtime Meal Allowance (Meal)" queryTableFieldId="1409"/>
    <tableColumn id="34" xr3:uid="{A7DA6DE2-F223-4E2B-A5F2-DCBD9DD5E6FC}" uniqueName="34" name="AWU - Overtime Meal Allowance ($)" queryTableFieldId="1410"/>
    <tableColumn id="36" xr3:uid="{783E8EB2-8496-4399-85E6-B8689D5858CD}" uniqueName="36" name="Superannuation Salary Sacrifice $" queryTableFieldId="977"/>
    <tableColumn id="60" xr3:uid="{16B01C76-FBFA-4DFF-A2DE-1ABE229F30CD}" uniqueName="60" name="Child Support" queryTableFieldId="1301"/>
    <tableColumn id="27" xr3:uid="{215F3003-73DF-40E8-9005-3A335F2CD4A4}" uniqueName="27" name="Extra Tax %" queryTableFieldId="1370"/>
    <tableColumn id="31" xr3:uid="{96F1464C-6F05-492D-B61B-25EB9E4FB553}" uniqueName="31" name="Gross" queryTableFieldId="967"/>
    <tableColumn id="38" xr3:uid="{7D79CEA7-3838-431B-8EE3-B45CE88B452C}" uniqueName="38" name="Taxable Income" queryTableFieldId="979"/>
    <tableColumn id="39" xr3:uid="{7E38AA2E-D110-46EE-A269-920D30163A62}" uniqueName="39" name="Total Tax" queryTableFieldId="980"/>
    <tableColumn id="40" xr3:uid="{8AB60810-9FF3-4792-AB8F-15E44D2A4380}" uniqueName="40" name="Net" queryTableFieldId="981"/>
    <tableColumn id="41" xr3:uid="{79C1CE2D-8162-4101-8305-F74E91BD025C}" uniqueName="41" name="SG Contribution" queryTableFieldId="982"/>
    <tableColumn id="47" xr3:uid="{D1489200-E6D2-4F63-B879-0521736D87D6}" uniqueName="47" name="Severance (Protect)" queryTableFieldId="984"/>
    <tableColumn id="48" xr3:uid="{B186CDCE-5A3D-4825-AF75-C74AD5126535}" uniqueName="48" name="Income Protection (WAGEGUARD)" queryTableFieldId="985"/>
    <tableColumn id="46" xr3:uid="{C64BFAA5-B616-4636-B0AD-FF8C5C1C5EAC}" uniqueName="46" name="AWU - Severance (Protect)" queryTableFieldId="1411"/>
    <tableColumn id="58" xr3:uid="{D64C087A-FC3A-4C8F-8B49-E32EEBE847C8}" uniqueName="58" name="AWU - Mental Health Levy" queryTableFieldId="1412"/>
    <tableColumn id="62" xr3:uid="{72269CA3-0448-4629-A2EA-7B5D1A46545F}" uniqueName="62" name="AWU Chifley Insurance" queryTableFieldId="1505"/>
    <tableColumn id="57" xr3:uid="{C6455CF8-9B5E-4D66-B5C9-040EFDA91574}" uniqueName="57" name="Column1" queryTableFieldId="987"/>
    <tableColumn id="35" xr3:uid="{1771F573-5400-45DC-8863-0C178A76DD36}" uniqueName="35" name="_1" queryTableFieldId="1172"/>
    <tableColumn id="16" xr3:uid="{ABB88F08-D0B6-46B6-ACF7-E0AE7ADE44B9}" uniqueName="16" name="_2" queryTableFieldId="1423"/>
    <tableColumn id="20" xr3:uid="{4D3898F2-6F3A-4A2A-9CD5-B0E0C4B062D9}" uniqueName="20" name="_3" queryTableFieldId="1477"/>
    <tableColumn id="26" xr3:uid="{C8DD62E7-6E4D-463A-BF78-9107484AF778}" uniqueName="26" name="_4" queryTableFieldId="1478"/>
    <tableColumn id="24" xr3:uid="{FC933E05-9A1D-44F4-A67C-37BB49CBE36B}" uniqueName="24" name="AMWU - Meal Allowance ($)" queryTableFieldId="129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A4B38D6-748B-46C0-AF8A-CF4FD6B3C18D}" name="Table_Pay_Journal__CSV" displayName="Table_Pay_Journal__CSV" ref="A1:BC22" tableType="queryTable" totalsRowCount="1">
  <autoFilter ref="A1:BC21" xr:uid="{8A4B38D6-748B-46C0-AF8A-CF4FD6B3C18D}"/>
  <sortState xmlns:xlrd2="http://schemas.microsoft.com/office/spreadsheetml/2017/richdata2" ref="A2:BC21">
    <sortCondition ref="A1:A21"/>
  </sortState>
  <tableColumns count="55">
    <tableColumn id="1" xr3:uid="{653D16F4-9A8F-4B33-BC18-277DE91A58E6}" uniqueName="1" name="Employee No." queryTableFieldId="1" dataDxfId="106"/>
    <tableColumn id="2" xr3:uid="{D4697CFA-C7FF-4B11-A656-5BA4B655D3E6}" uniqueName="2" name="Given Names" queryTableFieldId="2" dataDxfId="105"/>
    <tableColumn id="3" xr3:uid="{AA9432BD-B141-415A-A68B-A3C81BC99F48}" uniqueName="3" name="Last Name" queryTableFieldId="3" dataDxfId="104"/>
    <tableColumn id="4" xr3:uid="{2450338A-110F-4C9D-958B-072E904F424C}" uniqueName="4" name="Employee Category" queryTableFieldId="4" dataDxfId="103"/>
    <tableColumn id="5" xr3:uid="{C84766FA-7AFE-4CD1-A5A3-54A4C88AF456}" uniqueName="5" name="Cost Centre" queryTableFieldId="5" dataDxfId="102"/>
    <tableColumn id="6" xr3:uid="{1FE0BDE5-54F8-4F1B-8045-6C71ADE5DCC5}" uniqueName="6" name="Work State" queryTableFieldId="6" dataDxfId="101"/>
    <tableColumn id="7" xr3:uid="{92A412F4-7FA0-4418-B44C-7AFD3DAC068E}" uniqueName="7" name="Payslip No." queryTableFieldId="7" dataDxfId="100"/>
    <tableColumn id="8" xr3:uid="{A89373AD-58B6-43CD-82E2-76BB0D83CE4B}" uniqueName="8" name="Transaction Type" queryTableFieldId="8" dataDxfId="99"/>
    <tableColumn id="9" xr3:uid="{08960779-41C3-488E-8845-AC065B4F6F55}" uniqueName="9" name="Period End Date" queryTableFieldId="9" dataDxfId="86" totalsRowDxfId="87"/>
    <tableColumn id="10" xr3:uid="{2B39C454-156C-421A-8F0D-2E4F6F2CF456}" uniqueName="10" name="Payment Type" queryTableFieldId="10" dataDxfId="98"/>
    <tableColumn id="11" xr3:uid="{165BD59B-5046-48CC-9631-EA1BAF1802C1}" uniqueName="11" name="Normal Hourly (Qty)" queryTableFieldId="11"/>
    <tableColumn id="12" xr3:uid="{CAC15E03-A63E-4A16-AF4E-8F1446A86048}" uniqueName="12" name="Normal Hourly ($)" queryTableFieldId="12"/>
    <tableColumn id="13" xr3:uid="{1D725368-FB44-473E-B069-891651250A66}" uniqueName="13" name="Overtime 2.0 (Qty)" queryTableFieldId="13"/>
    <tableColumn id="14" xr3:uid="{D49C774D-C85C-4A74-AE57-F413E5396C61}" uniqueName="14" name="Overtime 2.0 ($)" queryTableFieldId="14"/>
    <tableColumn id="17" xr3:uid="{98B992E4-1241-4177-A872-D89A7FE5EA7E}" uniqueName="17" name="Annual Leave (Qty)" queryTableFieldId="1014"/>
    <tableColumn id="18" xr3:uid="{211982AF-DBE8-4990-AB2B-563A9DB10580}" uniqueName="18" name="Annual Leave ($)" queryTableFieldId="1015"/>
    <tableColumn id="21" xr3:uid="{E7F14E39-F81C-466B-8BD3-39EE196A1A0C}" uniqueName="21" name="Annual Leave Loading (Qty)" queryTableFieldId="1016"/>
    <tableColumn id="22" xr3:uid="{8310AD18-30E0-4F08-A085-65C85F2019AE}" uniqueName="22" name="Annual Leave Loading ($)" queryTableFieldId="1017"/>
    <tableColumn id="23" xr3:uid="{C445C42A-AAB7-4588-AB7B-835AC75C86B0}" uniqueName="23" name="RDO Taken (Qty)" queryTableFieldId="990"/>
    <tableColumn id="24" xr3:uid="{1CA077B5-9A15-458D-A1D2-1DBB2C117C3B}" uniqueName="24" name="RDO Taken ($)" queryTableFieldId="991"/>
    <tableColumn id="15" xr3:uid="{81964806-8B5B-4723-901B-2AE682B63DEA}" uniqueName="15" name="RDO Bank (Qty)" queryTableFieldId="15"/>
    <tableColumn id="16" xr3:uid="{3A2D26F8-2682-4D49-9F7E-76A3906E788E}" uniqueName="16" name="RDO Bank ($)" totalsRowFunction="custom" queryTableFieldId="16">
      <totalsRowFormula>SUBTOTAL(9,Table_Pay_Journal__CSV[RDO Bank ($)])</totalsRowFormula>
    </tableColumn>
    <tableColumn id="33" xr3:uid="{9A5067AF-8844-4134-B901-635C8F29D04E}" uniqueName="33" name="Night Shift 200% (Qty)" queryTableFieldId="769"/>
    <tableColumn id="34" xr3:uid="{8261B833-BEE7-4863-8B25-094584686127}" uniqueName="34" name="Night Shift 200% ($)" queryTableFieldId="770"/>
    <tableColumn id="115" xr3:uid="{F4EC1C7E-0C67-40C9-9194-A432F21ACA0E}" uniqueName="115" name="Site Allowance - VIC (Qty)" queryTableFieldId="242"/>
    <tableColumn id="116" xr3:uid="{A122FCE2-8A67-4C87-8199-B8ABF996A447}" uniqueName="116" name="Site Allowance - VIC ($)" queryTableFieldId="243"/>
    <tableColumn id="117" xr3:uid="{8C6FA43B-96CF-446E-AB7C-9CE61B2C5AA7}" uniqueName="117" name="Overtime 1.8 (Qty)" queryTableFieldId="244"/>
    <tableColumn id="118" xr3:uid="{A2F59FAD-55F0-4E43-9C2F-B0C9B6BC6F64}" uniqueName="118" name="Overtime 1.8 ($)" queryTableFieldId="245"/>
    <tableColumn id="37" xr3:uid="{7B99AA27-B8E9-49C2-B458-FB8CF7B440A8}" uniqueName="37" name="Nightshift 1.8 (Qty)" queryTableFieldId="773"/>
    <tableColumn id="38" xr3:uid="{FF0CAB38-DC14-4016-A72F-5F6403CE02B0}" uniqueName="38" name="Nightshift 1.8 ($)" queryTableFieldId="774"/>
    <tableColumn id="25" xr3:uid="{0D305930-88EF-42B4-BD1C-69BA0ACADEF0}" uniqueName="25" name="Rain Work 1.0 (Qty)" queryTableFieldId="1018"/>
    <tableColumn id="26" xr3:uid="{C38E807A-C8D9-46BB-8F10-B6372AD164E3}" uniqueName="26" name="Rain Work 1.0 ($)" queryTableFieldId="1019"/>
    <tableColumn id="123" xr3:uid="{2309D624-43D0-4284-8CB7-80A88463F170}" uniqueName="123" name="Overtime Productivity Allowance-VIC (Qty)" queryTableFieldId="250"/>
    <tableColumn id="124" xr3:uid="{4F500657-61BD-42A6-828C-6649A8463CF8}" uniqueName="124" name="Overtime Productivity Allowance-VIC ($)" queryTableFieldId="251"/>
    <tableColumn id="103" xr3:uid="{44956DCF-BACD-4F4F-9334-F6E3256CFA67}" uniqueName="103" name="AMWU - Meal Allowance (Meal)" queryTableFieldId="901"/>
    <tableColumn id="104" xr3:uid="{3A6C1A83-924D-44E7-BBBE-CD285F9D78C6}" uniqueName="104" name="AMWU - Meal Allowance ($)" queryTableFieldId="902"/>
    <tableColumn id="105" xr3:uid="{DB3159DA-5C7F-4C8C-9B85-75996CCAF77B}" uniqueName="105" name="AMWU - Travel &amp; Fares (Travel)" queryTableFieldId="903"/>
    <tableColumn id="106" xr3:uid="{E4081A87-4875-4BFE-9827-B77FDC3CEACA}" uniqueName="106" name="AMWU - Travel &amp; Fares ($)" queryTableFieldId="904"/>
    <tableColumn id="19" xr3:uid="{912207A1-AA89-450B-8485-21678DD41442}" uniqueName="19" name="AWU - Travel Allowance (Travel)" queryTableFieldId="929"/>
    <tableColumn id="20" xr3:uid="{4F7968A9-2C2D-46C5-9960-46C4EA1D9018}" uniqueName="20" name="AWU - Travel Allowance ($)" queryTableFieldId="930"/>
    <tableColumn id="31" xr3:uid="{CAC3A268-7086-4B3D-A4C2-1184E628C8F2}" uniqueName="31" name="AWU - Overtime Meal Allowance (Meal)" queryTableFieldId="972"/>
    <tableColumn id="32" xr3:uid="{B4C6C9C9-F38A-49B8-AF69-DF08BAA29DF4}" uniqueName="32" name="AWU - Overtime Meal Allowance ($)" queryTableFieldId="973"/>
    <tableColumn id="39" xr3:uid="{26E0ECD2-069F-4F77-ABF5-D5A2B80D4592}" uniqueName="39" name="Superannuation Salary Sacrifice $" queryTableFieldId="775"/>
    <tableColumn id="107" xr3:uid="{64AF79E3-62F3-4FD3-AC6E-187178623D76}" uniqueName="107" name="Child Support" queryTableFieldId="905"/>
    <tableColumn id="27" xr3:uid="{CC54B371-5E93-4739-92D3-2D3BA78AA707}" uniqueName="27" name="Extra Tax %" queryTableFieldId="939"/>
    <tableColumn id="46" xr3:uid="{1D4CA024-94AF-46F4-A5BE-D0D81278DB94}" uniqueName="46" name="Gross" totalsRowFunction="custom" queryTableFieldId="46">
      <totalsRowFormula>SUBTOTAL(9,Table_Pay_Journal__CSV[Gross])</totalsRowFormula>
    </tableColumn>
    <tableColumn id="47" xr3:uid="{22B347D0-E5C9-4377-B60B-C44D3E42BE68}" uniqueName="47" name="Taxable Income" totalsRowFunction="custom" queryTableFieldId="47">
      <totalsRowFormula>SUBTOTAL(9,Table_Pay_Journal__CSV[Taxable Income])</totalsRowFormula>
    </tableColumn>
    <tableColumn id="48" xr3:uid="{F1DCAE76-2707-4AA3-B237-CAF8298C882E}" uniqueName="48" name="Total Tax" totalsRowFunction="custom" queryTableFieldId="48">
      <totalsRowFormula>SUBTOTAL(9,Table_Pay_Journal__CSV[Total Tax])</totalsRowFormula>
    </tableColumn>
    <tableColumn id="49" xr3:uid="{5E4E832C-AC60-46BB-9AF1-206304A6EBA1}" uniqueName="49" name="Net" totalsRowFunction="custom" queryTableFieldId="49">
      <totalsRowFormula>SUBTOTAL(9,Table_Pay_Journal__CSV[Net])</totalsRowFormula>
    </tableColumn>
    <tableColumn id="50" xr3:uid="{ECF7E58D-89E4-4752-8985-C1DC7A732678}" uniqueName="50" name="SG Contribution" totalsRowFunction="custom" queryTableFieldId="50">
      <totalsRowFormula>SUBTOTAL(9,Table_Pay_Journal__CSV[SG Contribution])</totalsRowFormula>
    </tableColumn>
    <tableColumn id="136" xr3:uid="{7CEFFBE7-661B-475B-9644-15668498E71D}" uniqueName="136" name="Severance (Protect)" queryTableFieldId="263" dataDxfId="97"/>
    <tableColumn id="137" xr3:uid="{D02B4891-5C92-4046-B8E8-23BD3EBA03D1}" uniqueName="137" name="Income Protection (WAGEGUARD)" queryTableFieldId="264" dataDxfId="96"/>
    <tableColumn id="28" xr3:uid="{D322EDD6-F9E7-47CD-88ED-70A47111A80C}" uniqueName="28" name="AWU - Severance (Protect)" queryTableFieldId="1020"/>
    <tableColumn id="29" xr3:uid="{DD2C2986-C897-4339-A324-0ABFBADBF1C5}" uniqueName="29" name="AWU - Mental Health Levy" queryTableFieldId="1021"/>
    <tableColumn id="30" xr3:uid="{90621E2F-FDBF-43D7-91DD-1E747346BF33}" uniqueName="30" name="AWU Chifley Insurance" queryTableFieldId="1028" dataDxfId="95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068E0C-21B5-425C-A9D8-25BD009713D7}" name="Daily_Cost_Detail___Actual" displayName="Daily_Cost_Detail___Actual" ref="A1:CB225" tableType="queryTable" totalsRowCount="1">
  <autoFilter ref="A1:CB224" xr:uid="{28068E0C-21B5-425C-A9D8-25BD009713D7}"/>
  <sortState xmlns:xlrd2="http://schemas.microsoft.com/office/spreadsheetml/2017/richdata2" ref="A2:CB224">
    <sortCondition ref="C1:C224"/>
  </sortState>
  <tableColumns count="80">
    <tableColumn id="13" xr3:uid="{6287DE62-CB57-4940-BA60-2EAA509F78FB}" uniqueName="13" name="Employee Number" queryTableFieldId="13" dataDxfId="80"/>
    <tableColumn id="14" xr3:uid="{BE13692A-B5A7-4CC1-B6F6-D9DD456F3BF2}" uniqueName="14" name="Name" queryTableFieldId="14" dataDxfId="79"/>
    <tableColumn id="15" xr3:uid="{4663F92F-9B25-4838-96DB-189DD258CD91}" uniqueName="15" name="Surname" queryTableFieldId="15" dataDxfId="78"/>
    <tableColumn id="16" xr3:uid="{0C5B086E-5789-4C64-8C17-B7F500391C25}" uniqueName="16" name="Pay Element" queryTableFieldId="16" dataDxfId="77"/>
    <tableColumn id="23" xr3:uid="{B7BDC387-048F-4E91-B973-3F0F29DF1FD5}" uniqueName="23" name="Unit" queryTableFieldId="34" dataDxfId="76" totalsRowDxfId="81" dataCellStyle="Comma"/>
    <tableColumn id="18" xr3:uid="{A4BB641E-4C34-437E-BC44-A33BAA7D847E}" uniqueName="18" name="Cost Rate" queryTableFieldId="18" dataDxfId="75" dataCellStyle="Comma"/>
    <tableColumn id="19" xr3:uid="{19C571E6-1B74-402E-88A2-241A28ECA217}" uniqueName="19" name="Cost Amount" totalsRowFunction="sum" queryTableFieldId="19" dataDxfId="74" totalsRowDxfId="82" dataCellStyle="Comma"/>
    <tableColumn id="17" xr3:uid="{1B018CA4-4B8F-4FFD-9A8B-C6A1643F159A}" uniqueName="17" name="Rate" queryTableFieldId="62" dataDxfId="73" dataCellStyle="Comma"/>
    <tableColumn id="21" xr3:uid="{6A212B13-3AEE-4934-95CB-026DB055803C}" uniqueName="21" name="Amount" totalsRowFunction="sum" queryTableFieldId="63" dataDxfId="72" totalsRowDxfId="83" dataCellStyle="Comma"/>
    <tableColumn id="64" xr3:uid="{5AA04E54-E882-4C2C-AB76-14B89DD6D523}" uniqueName="64" name="Margin" totalsRowFunction="sum" queryTableFieldId="319" dataDxfId="71" totalsRowDxfId="84" dataCellStyle="Comma"/>
    <tableColumn id="38" xr3:uid="{63D50135-F2AC-4EF2-A345-F17A4E4BBC47}" uniqueName="38" name="Normal Hourly (Qty)" queryTableFieldId="1057" dataDxfId="70" dataCellStyle="Comma"/>
    <tableColumn id="42" xr3:uid="{25283AD0-D339-44A4-9472-087FC27943BE}" uniqueName="42" name="Normal Hourly ($)" queryTableFieldId="1058" dataDxfId="69"/>
    <tableColumn id="43" xr3:uid="{97827B29-D912-4E9F-A8BD-94880302C4B5}" uniqueName="43" name="Overtime 2.0 (Qty)" queryTableFieldId="1059" dataDxfId="68"/>
    <tableColumn id="50" xr3:uid="{6AD127A0-8462-46ED-B340-9E672DEF0B1A}" uniqueName="50" name="Overtime 2.0 ($)" queryTableFieldId="1060" dataDxfId="67"/>
    <tableColumn id="29" xr3:uid="{6F1B11E0-584D-451F-8AE6-F97641FBFB18}" uniqueName="29" name="Annual Leave (Qty)" queryTableFieldId="1803" dataDxfId="66"/>
    <tableColumn id="30" xr3:uid="{F5AEBDF0-8B15-4F74-899F-8AFA90A3F6CA}" uniqueName="30" name="Annual Leave ($)" queryTableFieldId="1804" dataDxfId="65"/>
    <tableColumn id="31" xr3:uid="{E1680C0F-4C77-484C-A7A7-609F437FEB90}" uniqueName="31" name="Annual Leave Loading (Qty)" queryTableFieldId="1805" dataDxfId="64"/>
    <tableColumn id="32" xr3:uid="{E3A459E3-6619-4929-9C0A-278EEC7CCA79}" uniqueName="32" name="Annual Leave Loading ($)" queryTableFieldId="1806" dataDxfId="63"/>
    <tableColumn id="40" xr3:uid="{7ABA5956-239B-4BE2-B643-3F65BF3039E9}" uniqueName="40" name="RDO Taken (Qty)" queryTableFieldId="1759" dataDxfId="62"/>
    <tableColumn id="45" xr3:uid="{62E000AA-E283-4750-A4A4-EDA5E73D7598}" uniqueName="45" name="RDO Taken ($)" queryTableFieldId="1760" dataDxfId="61"/>
    <tableColumn id="65" xr3:uid="{30F67FC6-28C0-4812-BC10-9BA1283A76C0}" uniqueName="65" name="RDO Bank (Qty)" queryTableFieldId="1061" dataDxfId="60"/>
    <tableColumn id="66" xr3:uid="{5F0921BA-06B5-482A-8AAD-AA892801BA58}" uniqueName="66" name="RDO Bank ($)" queryTableFieldId="1062" dataDxfId="59"/>
    <tableColumn id="33" xr3:uid="{303776B5-C8FB-4E64-8EA8-446166A322C9}" uniqueName="33" name="Night Shift 200% (Qty)" queryTableFieldId="1085" dataDxfId="58"/>
    <tableColumn id="34" xr3:uid="{C8C648BF-98AF-4DD5-A23D-7377C44B8E1F}" uniqueName="34" name="Night Shift 200% ($)" queryTableFieldId="1086" dataDxfId="57"/>
    <tableColumn id="1" xr3:uid="{E40B2386-EA0E-40C4-99CD-AB10FE2C5EF2}" uniqueName="1" name="Employee Category" queryTableFieldId="70" dataDxfId="56"/>
    <tableColumn id="20" xr3:uid="{A59E338E-401C-428E-A1F7-45AC1DDE52FC}" uniqueName="20" name="Work State" queryTableFieldId="71" dataDxfId="55"/>
    <tableColumn id="69" xr3:uid="{C782396D-D3EA-48DA-BA46-B82285D40977}" uniqueName="69" name="Overtime 1.8 (Qty)" queryTableFieldId="1065" dataDxfId="54"/>
    <tableColumn id="70" xr3:uid="{55A36CC3-0C1C-4801-9787-B594000A3BEC}" uniqueName="70" name="Overtime 1.8 ($)" queryTableFieldId="1066" dataDxfId="53"/>
    <tableColumn id="73" xr3:uid="{307ECD22-EBAC-4130-B107-E86976A3586B}" uniqueName="73" name="Nightshift 1.8 (Qty)" queryTableFieldId="1087" dataDxfId="52"/>
    <tableColumn id="74" xr3:uid="{9FE2A37E-116E-41ED-B1CF-B573D848EBF5}" uniqueName="74" name="Nightshift 1.8 ($)" queryTableFieldId="1088" dataDxfId="51"/>
    <tableColumn id="58" xr3:uid="{821266DD-CB5A-4801-9770-CB1D1D4CD939}" uniqueName="58" name="Rain Work 1.0 (Qty)" queryTableFieldId="1807" dataDxfId="50"/>
    <tableColumn id="60" xr3:uid="{5137D809-574A-4F39-8143-C7912ECB4D92}" uniqueName="60" name="Rain Work 1.0 ($)" queryTableFieldId="1808" dataDxfId="49"/>
    <tableColumn id="48" xr3:uid="{70DABCA7-A14E-4DEF-ABD8-8E8AC42521A8}" uniqueName="48" name="Overtime Productivity Allowance-VIC (Qty)" queryTableFieldId="817" dataDxfId="48"/>
    <tableColumn id="49" xr3:uid="{70C87297-54AB-4509-8734-620C07E5EF39}" uniqueName="49" name="Overtime Productivity Allowance-VIC ($)" queryTableFieldId="818" dataDxfId="47"/>
    <tableColumn id="59" xr3:uid="{269B77E8-2214-4304-A1C6-91DB78B9B8EB}" uniqueName="59" name="AMWU - Meal Allowance (Meal)" queryTableFieldId="1536"/>
    <tableColumn id="61" xr3:uid="{B0F93C70-FAA9-4E5B-A379-C05C855BECAA}" uniqueName="61" name="AMWU - Meal Allowance ($)" queryTableFieldId="1537"/>
    <tableColumn id="62" xr3:uid="{D332348B-E83C-4828-9306-83E09830CAB1}" uniqueName="62" name="AMWU - Travel &amp; Fares (Travel)" queryTableFieldId="1538"/>
    <tableColumn id="75" xr3:uid="{37F1DE18-DE15-4C76-B34A-8BD4891AFF2D}" uniqueName="75" name="AMWU - Travel &amp; Fares ($)" queryTableFieldId="1539"/>
    <tableColumn id="26" xr3:uid="{B643944C-ABD8-4EC3-8583-B0682D1C436F}" uniqueName="26" name="Payslip No." queryTableFieldId="72" dataDxfId="46"/>
    <tableColumn id="27" xr3:uid="{C153F68D-AF81-4087-9C79-66D9197B1827}" uniqueName="27" name="Transaction Type" queryTableFieldId="73" dataDxfId="45"/>
    <tableColumn id="46" xr3:uid="{00B5AF12-B958-4E37-B029-0A12970C743B}" uniqueName="46" name="AWU - Travel Allowance (Travel)" queryTableFieldId="1613" dataDxfId="44"/>
    <tableColumn id="47" xr3:uid="{A8AFA49D-3C61-49CC-BCBE-D883692AE43E}" uniqueName="47" name="AWU - Travel Allowance ($)" queryTableFieldId="1614" dataDxfId="43"/>
    <tableColumn id="63" xr3:uid="{230FF4B1-E53A-43C7-915A-AA237691B11A}" uniqueName="63" name="AWU - Overtime Meal Allowance (Meal)" queryTableFieldId="1679"/>
    <tableColumn id="68" xr3:uid="{3350E625-1695-4399-BCEE-A57F800C50FF}" uniqueName="68" name="AWU - Overtime Meal Allowance ($)" queryTableFieldId="1680"/>
    <tableColumn id="77" xr3:uid="{DCE2F373-1D3B-40CE-BEE7-200CB735FB82}" uniqueName="77" name="Superannuation Salary Sacrifice $" queryTableFieldId="1091" dataDxfId="42"/>
    <tableColumn id="76" xr3:uid="{87DD9E88-7C6D-4280-B8CB-34B6767474CE}" uniqueName="76" name="Child Support" queryTableFieldId="1540" dataDxfId="41"/>
    <tableColumn id="79" xr3:uid="{2C932F9C-5836-4404-A1DC-F9B3D8FCB991}" uniqueName="79" name="Extra Tax %" queryTableFieldId="1625" dataDxfId="40"/>
    <tableColumn id="28" xr3:uid="{1038B6E8-AA9F-413C-8C68-CBD9AFBB5E80}" uniqueName="28" name="Payment Type" queryTableFieldId="74" dataDxfId="39"/>
    <tableColumn id="51" xr3:uid="{89393987-615F-475B-BF4B-4B55D590B617}" uniqueName="51" name="Gross" queryTableFieldId="97" dataDxfId="38"/>
    <tableColumn id="52" xr3:uid="{8FE4BAA3-4FCA-4658-97F0-1236EC7B50A5}" uniqueName="52" name="Taxable Income" queryTableFieldId="98" dataDxfId="37"/>
    <tableColumn id="35" xr3:uid="{54F4B6A1-7494-4A2B-B536-20990BCA88C2}" uniqueName="35" name="Net" queryTableFieldId="1026" dataDxfId="36"/>
    <tableColumn id="36" xr3:uid="{C618824E-1F0C-4E57-96E2-83B582E29A62}" uniqueName="36" name="SG Contribution" queryTableFieldId="1027" dataDxfId="35"/>
    <tableColumn id="53" xr3:uid="{7E1D181E-34B5-478B-A1FD-0858D733A68C}" uniqueName="53" name="Total Tax" queryTableFieldId="99" dataDxfId="34"/>
    <tableColumn id="55" xr3:uid="{C32ACD00-E942-4221-B678-625EC9637733}" uniqueName="55" name="Site Allowance - VIC (Qty)" queryTableFieldId="289" dataDxfId="33"/>
    <tableColumn id="37" xr3:uid="{1DECA28E-2300-4629-ACF1-EDB37D6698E4}" uniqueName="37" name="Severance (Protect)" queryTableFieldId="1028" dataDxfId="32"/>
    <tableColumn id="39" xr3:uid="{6A97D2B3-9A5E-4766-9342-A6088DB27F20}" uniqueName="39" name="Income Protection (WAGEGUARD)" queryTableFieldId="1029" dataDxfId="31"/>
    <tableColumn id="71" xr3:uid="{C86121A0-0094-45C6-A8C6-65A1DD71DE91}" uniqueName="71" name="AWU - Severance (Protect)" queryTableFieldId="1681" dataDxfId="30"/>
    <tableColumn id="78" xr3:uid="{72E63BF4-11DF-4B40-910B-EAFDEEF9E5B9}" uniqueName="78" name="AWU - Mental Health Levy" queryTableFieldId="1682" dataDxfId="29"/>
    <tableColumn id="81" xr3:uid="{4B93964D-73EA-404B-87BF-827D38A67A01}" uniqueName="81" name="AWU Chifley Insurance" queryTableFieldId="1823" dataDxfId="28"/>
    <tableColumn id="67" xr3:uid="{42BF4CFE-D998-4DCB-BF99-DFD70891ADEF}" uniqueName="67" name="_1" queryTableFieldId="1341" dataDxfId="27"/>
    <tableColumn id="44" xr3:uid="{2FFAD4AB-AE66-46FE-B6CD-E06C4D088CC9}" uniqueName="44" name="_2" queryTableFieldId="1699" dataDxfId="26"/>
    <tableColumn id="54" xr3:uid="{74A44812-8ACF-4A90-A85C-D37059B90CFD}" uniqueName="54" name="_3" queryTableFieldId="1783" dataDxfId="25"/>
    <tableColumn id="57" xr3:uid="{514946FD-B97C-4BB5-A64D-78CD86B6D6E7}" uniqueName="57" name="_4" queryTableFieldId="1784" dataDxfId="24"/>
    <tableColumn id="56" xr3:uid="{CF179419-0AD9-4C8D-97AF-07024B6FC0E6}" uniqueName="56" name="Site Allowance - VIC ($)" queryTableFieldId="290" dataDxfId="23"/>
    <tableColumn id="22" xr3:uid="{D7AFF2B0-6656-4F7B-B3FF-156BEA62ED3C}" uniqueName="22" name="Serviced" queryTableFieldId="30" dataDxfId="22" totalsRowDxfId="85" dataCellStyle="Comma"/>
    <tableColumn id="24" xr3:uid="{F824D98B-2360-46DA-998E-66FA963771FC}" uniqueName="24" name="Client" queryTableFieldId="66" dataDxfId="21"/>
    <tableColumn id="25" xr3:uid="{D0CC60DC-1EE8-4969-A31D-97A0541AD5A0}" uniqueName="25" name="Location" queryTableFieldId="67" dataDxfId="20"/>
    <tableColumn id="2" xr3:uid="{ADA28A33-5852-485B-AACE-E961130E9EA3}" uniqueName="2" name="Job Classification" queryTableFieldId="51" dataDxfId="19"/>
    <tableColumn id="3" xr3:uid="{5E4AA3B4-282F-467A-AFF5-689A4CBBAB11}" uniqueName="3" name="NT" queryTableFieldId="52"/>
    <tableColumn id="4" xr3:uid="{B5E8C5A7-0D04-4486-8ED4-AD58DCBF7120}" uniqueName="4" name="NT Shift" queryTableFieldId="53"/>
    <tableColumn id="5" xr3:uid="{03233447-E961-4852-BBA6-3F219F030908}" uniqueName="5" name="OT" queryTableFieldId="54"/>
    <tableColumn id="6" xr3:uid="{F4EC8BB9-16DF-4227-ABB1-64AC99B7B27C}" uniqueName="6" name="PH" queryTableFieldId="55"/>
    <tableColumn id="7" xr3:uid="{1D86A34F-731E-456F-B77A-A689544BE516}" uniqueName="7" name="Site Allowance" queryTableFieldId="56"/>
    <tableColumn id="8" xr3:uid="{7B8DAFC2-FBE5-4D70-A6A5-E4636EBEF984}" uniqueName="8" name="Overtime Meal Allowance" queryTableFieldId="57"/>
    <tableColumn id="9" xr3:uid="{1FDE2D7A-6657-4CC2-9886-DB2DE807D615}" uniqueName="9" name="First Aid L2" queryTableFieldId="58"/>
    <tableColumn id="41" xr3:uid="{33D20724-A314-4A4A-84BD-52AC571D8339}" uniqueName="41" name="Tool Allowance" queryTableFieldId="372" dataDxfId="18"/>
    <tableColumn id="80" xr3:uid="{03E6CCCC-4ADE-4B3D-A685-96CBE8994E94}" uniqueName="80" name="Leading Hand (up to 5 Reports)" queryTableFieldId="1360" dataDxfId="17"/>
    <tableColumn id="10" xr3:uid="{A8081F0F-83FC-445C-B874-C8EB62304742}" uniqueName="10" name="First Aid L3" queryTableFieldId="59"/>
    <tableColumn id="11" xr3:uid="{45D9F3CA-F7F4-4528-B3E4-0CA36CF79187}" uniqueName="11" name="Travel &amp; Fares Allowance" queryTableFieldId="60"/>
    <tableColumn id="12" xr3:uid="{CF558684-E055-4C20-8537-AAEC25AA30F7}" uniqueName="12" name="Overtime Productivity Allowance" queryTableFieldId="61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881780F-58F3-4FC1-9A2D-0BCFEF4E0BE9}" name="WGT_Invoice" displayName="WGT_Invoice" ref="A1:CC37" tableType="queryTable" totalsRowCount="1">
  <autoFilter ref="A1:CC36" xr:uid="{9881780F-58F3-4FC1-9A2D-0BCFEF4E0BE9}"/>
  <sortState xmlns:xlrd2="http://schemas.microsoft.com/office/spreadsheetml/2017/richdata2" ref="A2:CC36">
    <sortCondition descending="1" ref="B1:B36"/>
  </sortState>
  <tableColumns count="81">
    <tableColumn id="1" xr3:uid="{5C6FD379-6B09-4621-894D-20002D2FE26B}" uniqueName="1" name="Employee Number" queryTableFieldId="1"/>
    <tableColumn id="2" xr3:uid="{47041C23-DBC4-4B1C-83A5-93D1C6E935D6}" uniqueName="2" name="Serviced" queryTableFieldId="2" dataDxfId="15" totalsRowDxfId="16"/>
    <tableColumn id="3" xr3:uid="{5F220C7B-B6DA-47BF-9A4F-5DEB596CFE76}" uniqueName="3" name="Description" queryTableFieldId="3"/>
    <tableColumn id="4" xr3:uid="{8E3D8348-B796-4D80-9D78-441BF9EA1168}" uniqueName="4" name="Unit" queryTableFieldId="4"/>
    <tableColumn id="5" xr3:uid="{F8797A0B-A361-495A-84C9-C6F042045327}" uniqueName="5" name="Rate" queryTableFieldId="5"/>
    <tableColumn id="6" xr3:uid="{840DF327-714B-40DE-A36C-83B635BA0519}" uniqueName="6" name="Amount" totalsRowFunction="sum" queryTableFieldId="6"/>
    <tableColumn id="7" xr3:uid="{D577F073-7CE7-48A6-9096-7E26EE993F1E}" uniqueName="7" name="Client" queryTableFieldId="7"/>
    <tableColumn id="8" xr3:uid="{92610E6F-3316-4C04-8C31-A52A97F21FEA}" uniqueName="8" name="Pay Element" queryTableFieldId="8"/>
    <tableColumn id="9" xr3:uid="{08DD7958-3D72-448A-B248-FD880A6408D8}" uniqueName="9" name="Name" queryTableFieldId="9"/>
    <tableColumn id="10" xr3:uid="{9F0CECB1-0E26-4A05-99E3-8FDF038105AC}" uniqueName="10" name="Margin" queryTableFieldId="10"/>
    <tableColumn id="20" xr3:uid="{B2CEEEA1-3B2F-476B-8440-8BDBF00D78E3}" uniqueName="20" name="Normal Hourly (Qty)" queryTableFieldId="563"/>
    <tableColumn id="31" xr3:uid="{640C47DB-6EEB-491E-A052-6C691BCCFD9A}" uniqueName="31" name="Normal Hourly ($)" queryTableFieldId="564"/>
    <tableColumn id="32" xr3:uid="{52DF2C22-DD69-48FB-B865-877BE8913640}" uniqueName="32" name="Overtime 2.0 (Qty)" queryTableFieldId="565"/>
    <tableColumn id="35" xr3:uid="{8B0E9BBC-8BE9-4F2F-B8AA-5CD9C22C3E26}" uniqueName="35" name="Overtime 2.0 ($)" queryTableFieldId="566"/>
    <tableColumn id="15" xr3:uid="{AE2CD5E6-656A-47C8-9B7F-C40843759151}" uniqueName="15" name="Annual Leave (Qty)" queryTableFieldId="1355"/>
    <tableColumn id="16" xr3:uid="{F5A98D20-3F0C-41F9-A7F9-8D10CD1835E0}" uniqueName="16" name="Annual Leave ($)" queryTableFieldId="1356"/>
    <tableColumn id="18" xr3:uid="{1FAE940E-BF9D-4FB3-BBE7-451C242FA961}" uniqueName="18" name="Annual Leave Loading (Qty)" queryTableFieldId="1357"/>
    <tableColumn id="19" xr3:uid="{C747780E-4F4A-4EFD-AC87-5B421B97D709}" uniqueName="19" name="Annual Leave Loading ($)" queryTableFieldId="1358"/>
    <tableColumn id="26" xr3:uid="{C03F6A18-10CF-41F8-9B18-BFED82D5EDA0}" uniqueName="26" name="RDO Taken (Qty)" queryTableFieldId="1302"/>
    <tableColumn id="28" xr3:uid="{74A27361-5FE2-49F5-9777-C6B797156B45}" uniqueName="28" name="RDO Taken ($)" queryTableFieldId="1303"/>
    <tableColumn id="66" xr3:uid="{4D6D82E4-7C16-4F1D-BCEB-51D03CF11F99}" uniqueName="66" name="RDO Bank (Qty)" queryTableFieldId="567"/>
    <tableColumn id="67" xr3:uid="{4837F015-EE3E-422E-9A48-171FBC2A92E4}" uniqueName="67" name="RDO Bank ($)" queryTableFieldId="568"/>
    <tableColumn id="21" xr3:uid="{44AE4475-1FA7-47B4-8518-9CE76467481E}" uniqueName="21" name="Night Shift 200% (Qty)" queryTableFieldId="591"/>
    <tableColumn id="22" xr3:uid="{BF6793A3-080C-4F59-9BBB-5DDC48DB78C5}" uniqueName="22" name="Night Shift 200% ($)" queryTableFieldId="592"/>
    <tableColumn id="11" xr3:uid="{7A5FFD8B-B428-487E-8601-C14EEDCD4E48}" uniqueName="11" name="Employee Category" queryTableFieldId="11"/>
    <tableColumn id="12" xr3:uid="{53D72026-E6E4-448E-9BC6-5C969AD80851}" uniqueName="12" name="Work State" queryTableFieldId="12"/>
    <tableColumn id="70" xr3:uid="{0DD4B13D-6382-48F0-AFDF-8A30729FB13D}" uniqueName="70" name="Overtime 1.8 (Qty)" queryTableFieldId="571"/>
    <tableColumn id="71" xr3:uid="{3606A066-1672-44E4-B969-84E006770288}" uniqueName="71" name="Overtime 1.8 ($)" queryTableFieldId="572"/>
    <tableColumn id="47" xr3:uid="{3878197F-3336-4B4F-99DA-B91AF7E73F20}" uniqueName="47" name="Nightshift 1.8 (Qty)" queryTableFieldId="593"/>
    <tableColumn id="48" xr3:uid="{16ED4D70-31F9-4468-840B-29923911A48D}" uniqueName="48" name="Nightshift 1.8 ($)" queryTableFieldId="594"/>
    <tableColumn id="37" xr3:uid="{747D5385-5269-4BBB-8D55-846E6CF08EAA}" uniqueName="37" name="Rain Work 1.0 (Qty)" queryTableFieldId="1359"/>
    <tableColumn id="39" xr3:uid="{D5645D6C-06E3-4239-AB27-4DE5C73913CB}" uniqueName="39" name="Rain Work 1.0 ($)" queryTableFieldId="1360"/>
    <tableColumn id="36" xr3:uid="{E2F6132A-7FBF-4ED6-BDB6-94E3005519FE}" uniqueName="36" name="Overtime Productivity Allowance-VIC (Qty)" queryTableFieldId="323"/>
    <tableColumn id="38" xr3:uid="{FCBDDE9A-842D-4DC8-B2F3-3081804ADC08}" uniqueName="38" name="Overtime Productivity Allowance-VIC ($)" queryTableFieldId="324"/>
    <tableColumn id="44" xr3:uid="{FA95CE3E-0EDE-4F4B-8F86-AE725D4A6EFD}" uniqueName="44" name="AMWU - Meal Allowance (Meal)" queryTableFieldId="1042"/>
    <tableColumn id="49" xr3:uid="{B74A173F-E453-4CC4-9594-192F1603A725}" uniqueName="49" name="AMWU - Meal Allowance ($)" queryTableFieldId="1043"/>
    <tableColumn id="68" xr3:uid="{66019C1A-3A9E-4856-A3B7-E08950152B4F}" uniqueName="68" name="AMWU - Travel &amp; Fares (Travel)" queryTableFieldId="1044"/>
    <tableColumn id="78" xr3:uid="{18FDB8F6-AD41-40DF-B441-66FE37DC33F6}" uniqueName="78" name="AMWU - Travel &amp; Fares ($)" queryTableFieldId="1045"/>
    <tableColumn id="13" xr3:uid="{8C1E0911-0229-4B3B-810E-3958A5922882}" uniqueName="13" name="Payslip No." queryTableFieldId="13"/>
    <tableColumn id="14" xr3:uid="{F08C8D99-C157-482C-986B-8D7987B2C62B}" uniqueName="14" name="Transaction Type" queryTableFieldId="14"/>
    <tableColumn id="33" xr3:uid="{4DF00048-461B-4BFB-AE8A-F849EEC6350E}" uniqueName="33" name="AWU - Travel Allowance (Travel)" queryTableFieldId="1119"/>
    <tableColumn id="34" xr3:uid="{5F648F71-0069-4B05-9558-CA8C4DF62CF6}" uniqueName="34" name="AWU - Travel Allowance ($)" queryTableFieldId="1120"/>
    <tableColumn id="69" xr3:uid="{69989929-E375-4733-9344-D496FFD1D4D5}" uniqueName="69" name="AWU - Overtime Meal Allowance (Meal)" queryTableFieldId="1185"/>
    <tableColumn id="72" xr3:uid="{D9E26388-9174-4BE0-9AD9-9F5B0D421C9B}" uniqueName="72" name="AWU - Overtime Meal Allowance ($)" queryTableFieldId="1186"/>
    <tableColumn id="75" xr3:uid="{48C84685-4C81-4A9F-AEC1-F26F4B5585E8}" uniqueName="75" name="Superannuation Salary Sacrifice $" queryTableFieldId="597"/>
    <tableColumn id="79" xr3:uid="{C51A403D-77FB-4B59-ADFB-B96DBA7B2670}" uniqueName="79" name="Child Support" queryTableFieldId="1046"/>
    <tableColumn id="80" xr3:uid="{0D95A0FE-2213-4955-94F9-FA1DB33C535C}" uniqueName="80" name="Extra Tax %" queryTableFieldId="1131"/>
    <tableColumn id="17" xr3:uid="{32069B50-1634-462A-89B2-4DF3C412E51C}" uniqueName="17" name="Payment Type" queryTableFieldId="17"/>
    <tableColumn id="41" xr3:uid="{0C6AD5CA-4FA0-43FF-80A8-5A2C68B736ED}" uniqueName="41" name="Gross" queryTableFieldId="41"/>
    <tableColumn id="42" xr3:uid="{AC3A089C-D8FD-436F-8203-CC5CB2AAF0BB}" uniqueName="42" name="Taxable Income" queryTableFieldId="42"/>
    <tableColumn id="23" xr3:uid="{827EEC66-D41A-4132-98E5-81F848DF5763}" uniqueName="23" name="Net" queryTableFieldId="532"/>
    <tableColumn id="24" xr3:uid="{4924D152-F30E-480F-BE0F-A25F0B72092D}" uniqueName="24" name="SG Contribution" queryTableFieldId="533"/>
    <tableColumn id="43" xr3:uid="{3DDDC4C5-B0F8-41E0-8AFE-A8194F1E9D9E}" uniqueName="43" name="Total Tax" queryTableFieldId="43"/>
    <tableColumn id="45" xr3:uid="{473184B9-2260-438A-AFAB-16B1FBC91E29}" uniqueName="45" name="Site Allowance - VIC (Qty)" queryTableFieldId="45"/>
    <tableColumn id="25" xr3:uid="{013F72B9-3433-4936-8590-71FE06DC2462}" uniqueName="25" name="Severance (Protect)" queryTableFieldId="534"/>
    <tableColumn id="27" xr3:uid="{A84BE610-32D6-49F4-9F7B-0CD2FA2F947A}" uniqueName="27" name="Income Protection (WAGEGUARD)" queryTableFieldId="535"/>
    <tableColumn id="76" xr3:uid="{0C165157-69B4-4C33-AA77-4017021CE885}" uniqueName="76" name="AWU - Severance (Protect)" queryTableFieldId="1187"/>
    <tableColumn id="77" xr3:uid="{112B2400-9640-4702-AAAF-675CE82E3383}" uniqueName="77" name="AWU - Mental Health Levy" queryTableFieldId="1188"/>
    <tableColumn id="40" xr3:uid="{87EBE2A8-57D5-4BAD-B651-079FFFB34E5E}" uniqueName="40" name="AWU Chifley Insurance" queryTableFieldId="1375"/>
    <tableColumn id="74" xr3:uid="{00972E52-65F9-449C-A629-3D68A960A4A0}" uniqueName="74" name="_1" queryTableFieldId="847"/>
    <tableColumn id="83" xr3:uid="{AA4BF9D1-2B89-40F3-8250-C95D0E9B0A67}" uniqueName="83" name="_2" queryTableFieldId="1236"/>
    <tableColumn id="29" xr3:uid="{E746AC61-5B0B-41CB-94DE-E9D850662D14}" uniqueName="29" name="_3" queryTableFieldId="1333"/>
    <tableColumn id="30" xr3:uid="{F54A71C1-9FC0-4AFD-AED3-D8529BDA8B08}" uniqueName="30" name="_4" queryTableFieldId="1334"/>
    <tableColumn id="46" xr3:uid="{16F5A235-0417-4FB4-9907-BD60E98715EE}" uniqueName="46" name="Site Allowance - VIC ($)" queryTableFieldId="46"/>
    <tableColumn id="50" xr3:uid="{FB61A219-5F15-43A1-A354-0EDA277C8A08}" uniqueName="50" name="Surname" queryTableFieldId="50"/>
    <tableColumn id="51" xr3:uid="{F7F83E65-DB75-43D5-A62B-7BEC72AF1150}" uniqueName="51" name="Cost Rate" queryTableFieldId="51"/>
    <tableColumn id="52" xr3:uid="{E45A7744-65E8-4307-A545-A2D881E5EF16}" uniqueName="52" name="Cost Amount" queryTableFieldId="52"/>
    <tableColumn id="53" xr3:uid="{32BDAB7B-C8B1-43E2-89E6-500B29EF9336}" uniqueName="53" name="Location" queryTableFieldId="53"/>
    <tableColumn id="54" xr3:uid="{9ED69FFF-C13C-4FF3-9F72-C68F7DD15594}" uniqueName="54" name="NT" queryTableFieldId="54"/>
    <tableColumn id="55" xr3:uid="{E164383F-8E43-4CE9-A711-774467A0CE48}" uniqueName="55" name="NT Shift" queryTableFieldId="55"/>
    <tableColumn id="56" xr3:uid="{C39FE46F-22E4-4720-9635-F4B984193726}" uniqueName="56" name="OT" queryTableFieldId="56"/>
    <tableColumn id="57" xr3:uid="{C552BEF8-45D8-4B20-985C-A424F5E2D330}" uniqueName="57" name="PH" queryTableFieldId="57"/>
    <tableColumn id="58" xr3:uid="{D05D6768-A884-475F-AE37-487B651A7E86}" uniqueName="58" name="Site Allowance" queryTableFieldId="58"/>
    <tableColumn id="59" xr3:uid="{00838DF0-37C2-4204-96D5-BEEB0E15FF0B}" uniqueName="59" name="Overtime Meal Allowance" queryTableFieldId="59"/>
    <tableColumn id="60" xr3:uid="{1A70F316-1064-42D3-B93F-4954D23FB996}" uniqueName="60" name="First Aid L2" queryTableFieldId="60"/>
    <tableColumn id="61" xr3:uid="{225E217F-2738-491A-95F1-66FFAC7C7805}" uniqueName="61" name="Tool Allowance" queryTableFieldId="61"/>
    <tableColumn id="81" xr3:uid="{81B3E0C3-FCE2-4B72-8D14-648E9FF09C64}" uniqueName="81" name="Leading Hand (up to 5 Reports)" queryTableFieldId="852"/>
    <tableColumn id="62" xr3:uid="{4359592C-3A48-4C63-A96A-59EE2A963F11}" uniqueName="62" name="First Aid L3" queryTableFieldId="62"/>
    <tableColumn id="63" xr3:uid="{497BB05C-1551-41FC-A5DF-01962704193D}" uniqueName="63" name="Travel &amp; Fares Allowance" queryTableFieldId="63"/>
    <tableColumn id="64" xr3:uid="{D983822A-0C78-4AA0-8595-089430056C6C}" uniqueName="64" name="Overtime Productivity Allowance" queryTableFieldId="64"/>
    <tableColumn id="65" xr3:uid="{7529D003-2568-4709-8162-827CD845CB1D}" uniqueName="65" name="Job Classification" queryTableFieldId="65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01F799F-78FA-47A8-B5E2-88332C0A8E45}" name="HBM_Invoice" displayName="HBM_Invoice" ref="A1:F20" tableType="queryTable" totalsRowCount="1">
  <autoFilter ref="A1:F19" xr:uid="{C01F799F-78FA-47A8-B5E2-88332C0A8E45}"/>
  <sortState xmlns:xlrd2="http://schemas.microsoft.com/office/spreadsheetml/2017/richdata2" ref="A2:F19">
    <sortCondition descending="1" ref="C1:C19"/>
  </sortState>
  <tableColumns count="6">
    <tableColumn id="2" xr3:uid="{7BA89A4E-7D54-4359-8731-51C6233D5E06}" uniqueName="2" name="Employee Number" queryTableFieldId="150"/>
    <tableColumn id="8" xr3:uid="{5250A9F7-9854-4F18-912A-E8FB8E76D001}" uniqueName="8" name="Serviced" queryTableFieldId="154"/>
    <tableColumn id="3" xr3:uid="{67B4C88F-CEF7-4ABC-A06D-C39599247385}" uniqueName="3" name="Description" queryTableFieldId="3" dataDxfId="94"/>
    <tableColumn id="4" xr3:uid="{FB0CCA37-3E7E-4100-8D23-ED1DFA5CC160}" uniqueName="4" name="Unit" queryTableFieldId="4"/>
    <tableColumn id="5" xr3:uid="{DCE60A2F-0C82-4337-90AD-908480DE162F}" uniqueName="5" name="Rate" queryTableFieldId="5" dataDxfId="93"/>
    <tableColumn id="6" xr3:uid="{256B2D2C-CCA4-46DA-9EB5-42E8ADA0146E}" uniqueName="6" name="Amount" totalsRowFunction="sum" queryTableFieldId="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C692EF0-CEBF-43A2-AE4A-67A778B4CC65}" name="WAB_invoice" displayName="WAB_invoice" ref="A1:BZ5" tableType="queryTable" totalsRowCount="1">
  <autoFilter ref="A1:BZ4" xr:uid="{AC692EF0-CEBF-43A2-AE4A-67A778B4CC65}"/>
  <sortState xmlns:xlrd2="http://schemas.microsoft.com/office/spreadsheetml/2017/richdata2" ref="A2:BZ4">
    <sortCondition descending="1" ref="B1:B4"/>
  </sortState>
  <tableColumns count="78">
    <tableColumn id="1" xr3:uid="{9C5A8F69-7176-4D52-8C5C-02931F39F1AA}" uniqueName="1" name="Employee Number" queryTableFieldId="1"/>
    <tableColumn id="2" xr3:uid="{83692641-1CC1-4B28-A56E-4ACB07D0628D}" uniqueName="2" name="Serviced" queryTableFieldId="2" dataDxfId="13" totalsRowDxfId="14"/>
    <tableColumn id="3" xr3:uid="{5ECBB5A3-F3E3-4E40-9355-DA36957B419C}" uniqueName="3" name="Description" queryTableFieldId="3"/>
    <tableColumn id="4" xr3:uid="{93B697F8-2190-40E5-BAF0-1497F242A17C}" uniqueName="4" name="Unit" queryTableFieldId="4"/>
    <tableColumn id="5" xr3:uid="{0F4F1135-5523-42CA-9EA8-7609033963E6}" uniqueName="5" name="Rate" queryTableFieldId="5"/>
    <tableColumn id="6" xr3:uid="{30F14D3F-2FF2-4A5C-A49C-125C1DFD451F}" uniqueName="6" name="Amount" totalsRowFunction="sum" queryTableFieldId="6"/>
    <tableColumn id="15" xr3:uid="{00A54E25-E1FF-4513-8AFA-1AC3A4F2F2F0}" uniqueName="15" name="Normal Hourly (Qty)" queryTableFieldId="739"/>
    <tableColumn id="29" xr3:uid="{BEA694D3-497C-4873-A976-8E6EB505760F}" uniqueName="29" name="Normal Hourly ($)" queryTableFieldId="740"/>
    <tableColumn id="31" xr3:uid="{A478DFD9-DFF9-46AC-956D-8D56E9DEE360}" uniqueName="31" name="Overtime 2.0 (Qty)" queryTableFieldId="741"/>
    <tableColumn id="38" xr3:uid="{21B94DD9-83EE-403F-9D47-05814B427A9E}" uniqueName="38" name="Overtime 2.0 ($)" queryTableFieldId="742"/>
    <tableColumn id="10" xr3:uid="{76649AB1-8E25-44B2-A017-AAD2BD198C1D}" uniqueName="10" name="Annual Leave (Qty)" queryTableFieldId="1517"/>
    <tableColumn id="11" xr3:uid="{AF5A631A-542D-4088-8964-023AEA371E84}" uniqueName="11" name="Annual Leave ($)" queryTableFieldId="1518"/>
    <tableColumn id="14" xr3:uid="{194AB8BC-22D3-4D86-91C7-980DA3310698}" uniqueName="14" name="Annual Leave Loading (Qty)" queryTableFieldId="1519"/>
    <tableColumn id="18" xr3:uid="{69777F4C-6345-40B8-9A43-2EB3735F0B57}" uniqueName="18" name="Annual Leave Loading ($)" queryTableFieldId="1520"/>
    <tableColumn id="19" xr3:uid="{D367125B-51EE-44DC-A52C-75FC6831646F}" uniqueName="19" name="RDO Taken (Qty)" queryTableFieldId="1465"/>
    <tableColumn id="32" xr3:uid="{7AEA344E-7266-4183-A126-1B57A929903F}" uniqueName="32" name="RDO Taken ($)" queryTableFieldId="1466"/>
    <tableColumn id="62" xr3:uid="{9A653590-FC34-4C94-8B0C-6D5C6489252C}" uniqueName="62" name="RDO Bank (Qty)" queryTableFieldId="743"/>
    <tableColumn id="63" xr3:uid="{1C512949-08F2-407B-8D83-7B0D4B2FEDD3}" uniqueName="63" name="RDO Bank ($)" queryTableFieldId="744"/>
    <tableColumn id="23" xr3:uid="{E462CAD0-0083-47F8-AB4E-6D9BFF3DF0D3}" uniqueName="23" name="Night Shift 200% (Qty)" queryTableFieldId="766"/>
    <tableColumn id="24" xr3:uid="{F61E7625-4B37-4433-BBD8-F3B411CB9F5C}" uniqueName="24" name="Night Shift 200% ($)" queryTableFieldId="767"/>
    <tableColumn id="7" xr3:uid="{02166110-68B5-44E5-B0A6-73ABBFD71646}" uniqueName="7" name="Margin" queryTableFieldId="7"/>
    <tableColumn id="8" xr3:uid="{2BCED1F4-9626-4855-B864-8A4BF6DAA53A}" uniqueName="8" name="Location" queryTableFieldId="8"/>
    <tableColumn id="66" xr3:uid="{2E38D3E6-2E58-43FC-89FC-4002566FF103}" uniqueName="66" name="Overtime 1.8 (Qty)" queryTableFieldId="747"/>
    <tableColumn id="67" xr3:uid="{F412522E-6601-4391-A2F7-A88FBCE673BE}" uniqueName="67" name="Overtime 1.8 ($)" queryTableFieldId="748"/>
    <tableColumn id="48" xr3:uid="{3AD22E90-66C6-42AE-B592-ED5358FB20AB}" uniqueName="48" name="Nightshift 1.8 (Qty)" queryTableFieldId="768"/>
    <tableColumn id="49" xr3:uid="{03E83BBB-A2D8-4E72-9876-83393DA70ECA}" uniqueName="49" name="Nightshift 1.8 ($)" queryTableFieldId="769"/>
    <tableColumn id="44" xr3:uid="{272C59F5-C3F3-4474-A0F8-A03BF6D102B8}" uniqueName="44" name="Rain Work 1.0 (Qty)" queryTableFieldId="1521"/>
    <tableColumn id="45" xr3:uid="{C7A24BE2-E424-4AEE-BC65-180B0169C2B1}" uniqueName="45" name="Rain Work 1.0 ($)" queryTableFieldId="1522"/>
    <tableColumn id="36" xr3:uid="{23977378-892B-438F-BC7D-0C6ECD54E0EA}" uniqueName="36" name="Overtime Productivity Allowance-VIC (Qty)" queryTableFieldId="498"/>
    <tableColumn id="37" xr3:uid="{9569AB45-B047-48FA-B1E4-EB1993F28E93}" uniqueName="37" name="Overtime Productivity Allowance-VIC ($)" queryTableFieldId="499"/>
    <tableColumn id="43" xr3:uid="{A4F6712B-A4C7-4EA7-A783-464D4168F00A}" uniqueName="43" name="AMWU - Meal Allowance (Meal)" queryTableFieldId="1212"/>
    <tableColumn id="50" xr3:uid="{4F75CEA6-C37E-4F1B-A8B3-CCA010E691BD}" uniqueName="50" name="AMWU - Meal Allowance ($)" queryTableFieldId="1213"/>
    <tableColumn id="64" xr3:uid="{8F5B19F4-9683-4A50-934F-9ECA64DDA16D}" uniqueName="64" name="AMWU - Travel &amp; Fares (Travel)" queryTableFieldId="1214"/>
    <tableColumn id="75" xr3:uid="{A5E06850-9A77-4E8A-81C9-9B5D319F2B84}" uniqueName="75" name="AMWU - Travel &amp; Fares ($)" queryTableFieldId="1215"/>
    <tableColumn id="9" xr3:uid="{E5600FB8-B162-4C62-A0EA-E47D3298F32D}" uniqueName="9" name="Cost Rate" queryTableFieldId="9"/>
    <tableColumn id="34" xr3:uid="{EBD3820D-3E87-4043-B5B0-D6539914AD0C}" uniqueName="34" name="AWU - Travel Allowance (Travel)" queryTableFieldId="1288"/>
    <tableColumn id="35" xr3:uid="{D570D091-B932-4559-8D00-7149320DDBC2}" uniqueName="35" name="AWU - Travel Allowance ($)" queryTableFieldId="1289"/>
    <tableColumn id="68" xr3:uid="{F5B6C6ED-64AA-4DD3-A7EE-170DD8C3C817}" uniqueName="68" name="AWU - Overtime Meal Allowance (Meal)" queryTableFieldId="1352"/>
    <tableColumn id="70" xr3:uid="{3D7B8C67-B873-435A-8954-BEB5C45CC595}" uniqueName="70" name="AWU - Overtime Meal Allowance ($)" queryTableFieldId="1353"/>
    <tableColumn id="71" xr3:uid="{D81CC6F6-018A-4E15-A751-285DAFDD12BA}" uniqueName="71" name="Superannuation Salary Sacrifice $" queryTableFieldId="772"/>
    <tableColumn id="76" xr3:uid="{C842049B-62C0-4F7C-8E39-F89FFAEF099A}" uniqueName="76" name="Child Support" queryTableFieldId="1216"/>
    <tableColumn id="77" xr3:uid="{56BE99EE-C2DB-4A92-8388-2DCC7B3987F9}" uniqueName="77" name="Extra Tax %" queryTableFieldId="1300"/>
    <tableColumn id="12" xr3:uid="{298EF127-75DA-43F2-B898-F9F2B1A0BDFE}" uniqueName="12" name="Cost Amount" queryTableFieldId="12"/>
    <tableColumn id="13" xr3:uid="{CA9A5BFD-3F78-4593-912E-D0A90985DC68}" uniqueName="13" name="Employee Category" queryTableFieldId="13"/>
    <tableColumn id="16" xr3:uid="{963EE158-978C-4DDA-BE58-225F5F7FFC73}" uniqueName="16" name="Pay Element - Copy" queryTableFieldId="16"/>
    <tableColumn id="25" xr3:uid="{DEB9D73E-781D-44B6-BCA6-A96335946114}" uniqueName="25" name="Net" queryTableFieldId="708"/>
    <tableColumn id="26" xr3:uid="{A43A0F0F-7EE9-4B8C-9334-7538D139720E}" uniqueName="26" name="SG Contribution" queryTableFieldId="709"/>
    <tableColumn id="17" xr3:uid="{792786B4-CA49-4B8B-872C-174E7B5CF264}" uniqueName="17" name="Work State" queryTableFieldId="17"/>
    <tableColumn id="20" xr3:uid="{760F88F5-2E65-4959-9E80-C493073FC16B}" uniqueName="20" name="Payslip No." queryTableFieldId="20"/>
    <tableColumn id="27" xr3:uid="{4B50911B-098C-428C-8C06-BE402C4A08B5}" uniqueName="27" name="Severance (Protect)" queryTableFieldId="710"/>
    <tableColumn id="28" xr3:uid="{F15497FC-8841-4C2C-BBF4-CB2FE12F06F4}" uniqueName="28" name="Income Protection (WAGEGUARD)" queryTableFieldId="711"/>
    <tableColumn id="72" xr3:uid="{F27F55B5-30A7-42F9-8C81-15547723B98C}" uniqueName="72" name="AWU - Severance (Protect)" queryTableFieldId="1354"/>
    <tableColumn id="74" xr3:uid="{07B53D14-034F-4EF4-8B29-EBA145718689}" uniqueName="74" name="AWU - Mental Health Levy" queryTableFieldId="1355"/>
    <tableColumn id="61" xr3:uid="{A2E7BAD6-155F-4429-A965-FF583E053965}" uniqueName="61" name="AWU Chifley Insurance" queryTableFieldId="1536"/>
    <tableColumn id="73" xr3:uid="{4694EA04-BBC3-4E86-82DF-1BFC9CC7AD5F}" uniqueName="73" name="_1" queryTableFieldId="1018"/>
    <tableColumn id="80" xr3:uid="{7ECAC0F0-6390-4C99-BDF3-D65F2077C610}" uniqueName="80" name="_2" queryTableFieldId="1400"/>
    <tableColumn id="33" xr3:uid="{4F9B2331-4DC5-4AC8-974D-DBB11CAA9EF5}" uniqueName="33" name="_3" queryTableFieldId="1495"/>
    <tableColumn id="39" xr3:uid="{0D101D42-1BEF-485C-AF53-BAAC749BD77D}" uniqueName="39" name="_4" queryTableFieldId="1496"/>
    <tableColumn id="21" xr3:uid="{C9ACE583-4B54-4CC5-AC77-7D8AC6802463}" uniqueName="21" name="Transaction Type" queryTableFieldId="21"/>
    <tableColumn id="22" xr3:uid="{A91004C3-3C5F-4B12-84F4-BBB851200541}" uniqueName="22" name="Payment Type" queryTableFieldId="22"/>
    <tableColumn id="40" xr3:uid="{BCB67B75-D88A-4634-8677-60C3894BE37E}" uniqueName="40" name="Gross" queryTableFieldId="40"/>
    <tableColumn id="41" xr3:uid="{5B9448C6-308A-4E4F-9FC9-27F0AF297154}" uniqueName="41" name="Taxable Income" queryTableFieldId="41"/>
    <tableColumn id="42" xr3:uid="{557F6BC1-ACF6-48E7-A278-97BA318F67C4}" uniqueName="42" name="Total Tax" queryTableFieldId="42"/>
    <tableColumn id="46" xr3:uid="{686E91ED-EBA5-46F2-9D33-1D3381E59345}" uniqueName="46" name="Site Allowance - VIC (Qty)" queryTableFieldId="46"/>
    <tableColumn id="47" xr3:uid="{7E8E736F-53D4-484C-9B6B-67A8905A7EF2}" uniqueName="47" name="Site Allowance - VIC ($)" queryTableFieldId="47"/>
    <tableColumn id="51" xr3:uid="{0A507DA1-9A65-4595-8582-72668D5FB033}" uniqueName="51" name="NT" queryTableFieldId="51"/>
    <tableColumn id="52" xr3:uid="{CBE33F11-EDFF-4319-81B6-AB703352446B}" uniqueName="52" name="NT Shift" queryTableFieldId="52"/>
    <tableColumn id="53" xr3:uid="{93B218F5-8DE9-4584-B06A-199499747A9F}" uniqueName="53" name="OT" queryTableFieldId="53"/>
    <tableColumn id="54" xr3:uid="{49B9EF79-F50D-4408-A771-DE29A8FD1CE6}" uniqueName="54" name="PH" queryTableFieldId="54"/>
    <tableColumn id="55" xr3:uid="{741C443C-E718-4BAC-B33A-ADC7D7F950A3}" uniqueName="55" name="Site Allowance" queryTableFieldId="55"/>
    <tableColumn id="30" xr3:uid="{A1F2C454-BBB3-44CC-9BDA-AF688DE59D42}" uniqueName="30" name="Tool Allowance" queryTableFieldId="65"/>
    <tableColumn id="78" xr3:uid="{058F4D21-8556-446B-AFA1-3F1ED15A323B}" uniqueName="78" name="Leading Hand (up to 5 Reports)" queryTableFieldId="1023"/>
    <tableColumn id="56" xr3:uid="{D434E946-CFBF-4C82-B8F0-E630211CE5F4}" uniqueName="56" name="Overtime Meal Allowance" queryTableFieldId="56"/>
    <tableColumn id="57" xr3:uid="{DD49E666-CDB4-41C9-A802-33FF44E3D003}" uniqueName="57" name="First Aid L2" queryTableFieldId="57"/>
    <tableColumn id="58" xr3:uid="{D09FC96A-90B3-4FD0-84D9-8B30CD13D0A8}" uniqueName="58" name="First Aid L3" queryTableFieldId="58"/>
    <tableColumn id="59" xr3:uid="{D78D3179-FC73-4117-8725-C9C2FB1D0EEC}" uniqueName="59" name="Travel &amp; Fares Allowance" queryTableFieldId="59"/>
    <tableColumn id="65" xr3:uid="{E2FC876A-EB63-4AC5-A8E6-4C8E2B15FB98}" uniqueName="65" name="Surname - Copy" queryTableFieldId="913"/>
    <tableColumn id="60" xr3:uid="{30C1C40B-7669-43A5-8FDD-9582A81486D5}" uniqueName="60" name="Overtime Productivity Allowance" queryTableFieldId="60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9BB4C58-44B4-4B31-A855-AF53B063F0C5}" name="RTF_Invoice" displayName="RTF_Invoice" ref="A1:BZ3" tableType="queryTable" totalsRowCount="1">
  <autoFilter ref="A1:BZ2" xr:uid="{09BB4C58-44B4-4B31-A855-AF53B063F0C5}"/>
  <tableColumns count="78">
    <tableColumn id="1" xr3:uid="{5E0045C0-7A78-46D7-A07E-8F63786C3501}" uniqueName="1" name="Employee Number" queryTableFieldId="1"/>
    <tableColumn id="2" xr3:uid="{DB998C8F-FC9E-4B28-8FAE-B6219F342839}" uniqueName="2" name="Serviced" queryTableFieldId="2" dataDxfId="11" totalsRowDxfId="12"/>
    <tableColumn id="3" xr3:uid="{EBDABFB9-4023-4F1E-8E59-1E90685B128F}" uniqueName="3" name="Description" queryTableFieldId="3"/>
    <tableColumn id="4" xr3:uid="{344A5473-1451-4E50-A165-B8D93B495C0B}" uniqueName="4" name="Unit" queryTableFieldId="4"/>
    <tableColumn id="5" xr3:uid="{776DC3FD-98E9-460C-9745-AB69A391DCFA}" uniqueName="5" name="Rate" queryTableFieldId="5"/>
    <tableColumn id="6" xr3:uid="{1A068AF6-BC53-4065-B8C8-C702BCCE8A38}" uniqueName="6" name="Amount" totalsRowFunction="sum" queryTableFieldId="6"/>
    <tableColumn id="18" xr3:uid="{1F6E9A4C-8AD3-4E16-A5ED-AA5F58088529}" uniqueName="18" name="Normal Hourly (Qty)" queryTableFieldId="314"/>
    <tableColumn id="34" xr3:uid="{00B18471-297E-4934-8F07-4C8499C5F167}" uniqueName="34" name="Normal Hourly ($)" queryTableFieldId="315"/>
    <tableColumn id="35" xr3:uid="{423AE09C-94A3-4849-BFDD-0B3CE780E9BD}" uniqueName="35" name="Overtime 2.0 (Qty)" queryTableFieldId="316"/>
    <tableColumn id="36" xr3:uid="{B58D88A4-384D-42E3-B430-F098C0C561AD}" uniqueName="36" name="Overtime 2.0 ($)" queryTableFieldId="317"/>
    <tableColumn id="10" xr3:uid="{63E5AD6F-0657-4428-A7BF-F58B11C40D76}" uniqueName="10" name="Annual Leave (Qty)" queryTableFieldId="1090"/>
    <tableColumn id="11" xr3:uid="{B1C53161-DFD0-4381-AF0B-D1D64A8234F1}" uniqueName="11" name="Annual Leave ($)" queryTableFieldId="1091"/>
    <tableColumn id="19" xr3:uid="{1DA45521-30CC-4C5D-A9A0-9241F4C4C5FD}" uniqueName="19" name="Annual Leave Loading (Qty)" queryTableFieldId="1092"/>
    <tableColumn id="20" xr3:uid="{AEE38C9B-CCC7-4DD5-900A-4DC2BB64BB01}" uniqueName="20" name="Annual Leave Loading ($)" queryTableFieldId="1093"/>
    <tableColumn id="21" xr3:uid="{B61F967C-12C7-4BA3-A76D-70959AB6A782}" uniqueName="21" name="RDO Taken (Qty)" queryTableFieldId="1038"/>
    <tableColumn id="23" xr3:uid="{9828640D-FF94-48B9-BE03-EB43DCCE289C}" uniqueName="23" name="RDO Taken ($)" queryTableFieldId="1039"/>
    <tableColumn id="63" xr3:uid="{E26E2C21-FAE1-43B9-BC96-E989473F1FA1}" uniqueName="63" name="RDO Bank (Qty)" queryTableFieldId="318"/>
    <tableColumn id="64" xr3:uid="{63E15F65-5C28-4B65-B726-68BFB00DEE9E}" uniqueName="64" name="RDO Bank ($)" queryTableFieldId="319"/>
    <tableColumn id="26" xr3:uid="{893A229D-DD75-49BB-A667-8DA4C55B329C}" uniqueName="26" name="Night Shift 200% (Qty)" queryTableFieldId="341"/>
    <tableColumn id="28" xr3:uid="{94B65168-9083-4686-B219-E346EE5D1F76}" uniqueName="28" name="Night Shift 200% ($)" queryTableFieldId="342"/>
    <tableColumn id="7" xr3:uid="{EEDF770A-4FE2-4508-9FA0-CFF5A036EA25}" uniqueName="7" name="Margin" queryTableFieldId="7"/>
    <tableColumn id="8" xr3:uid="{80340F0D-D51C-4244-9143-EA7E8A6D792B}" uniqueName="8" name="Location" queryTableFieldId="8"/>
    <tableColumn id="67" xr3:uid="{E39734CB-57F0-4060-B3C1-933B36919FA5}" uniqueName="67" name="Overtime 1.8 (Qty)" queryTableFieldId="322"/>
    <tableColumn id="68" xr3:uid="{7A12076E-BF6D-4873-A520-99477FA8FA51}" uniqueName="68" name="Overtime 1.8 ($)" queryTableFieldId="323"/>
    <tableColumn id="47" xr3:uid="{58FAC300-16A6-407E-9F40-7A18DB03063F}" uniqueName="47" name="Nightshift 1.8 (Qty)" queryTableFieldId="343"/>
    <tableColumn id="48" xr3:uid="{9559FCFC-A672-4DC9-B94C-842536A91F2C}" uniqueName="48" name="Nightshift 1.8 ($)" queryTableFieldId="344"/>
    <tableColumn id="41" xr3:uid="{170FC15D-AC9A-4DAF-ABEB-880E0DAC37F4}" uniqueName="41" name="Rain Work 1.0 (Qty)" queryTableFieldId="1094"/>
    <tableColumn id="42" xr3:uid="{184FBC63-D72B-4871-BF4F-B5AEB6A442A0}" uniqueName="42" name="Rain Work 1.0 ($)" queryTableFieldId="1095"/>
    <tableColumn id="27" xr3:uid="{B4FF1B03-6880-4BB3-9348-D907B90A8BCC}" uniqueName="27" name="Overtime Productivity Allowance-VIC (Qty)" queryTableFieldId="71"/>
    <tableColumn id="37" xr3:uid="{EB88AAD2-0DAA-4C0A-A10E-FA676C5C0948}" uniqueName="37" name="Overtime Productivity Allowance-VIC ($)" queryTableFieldId="72"/>
    <tableColumn id="44" xr3:uid="{FAAABB3C-1F1B-4ED3-B2D2-3C0B3541B4F4}" uniqueName="44" name="AMWU - Meal Allowance (Meal)" queryTableFieldId="785"/>
    <tableColumn id="49" xr3:uid="{07461B96-1F9E-4948-A44E-4EFE42FB987B}" uniqueName="49" name="AMWU - Meal Allowance ($)" queryTableFieldId="786"/>
    <tableColumn id="65" xr3:uid="{14462F9B-11A6-46B5-A089-3441FC2F3994}" uniqueName="65" name="AMWU - Travel &amp; Fares (Travel)" queryTableFieldId="787"/>
    <tableColumn id="75" xr3:uid="{DDCA534A-CCED-4703-BA3E-5690C45B1934}" uniqueName="75" name="AMWU - Travel &amp; Fares ($)" queryTableFieldId="788"/>
    <tableColumn id="9" xr3:uid="{F1CAA8E5-A9C1-48A6-BEB3-76C1FDDE7681}" uniqueName="9" name="Cost Rate" queryTableFieldId="9"/>
    <tableColumn id="24" xr3:uid="{FE988461-3695-4765-BE6C-D13CE72E9EEE}" uniqueName="24" name="AWU - Travel Allowance (Travel)" queryTableFieldId="861"/>
    <tableColumn id="25" xr3:uid="{D7AB8120-15C7-4114-AADD-118530C8C0CA}" uniqueName="25" name="AWU - Travel Allowance ($)" queryTableFieldId="862"/>
    <tableColumn id="66" xr3:uid="{59AFD9FD-A6BE-455C-AAF4-95CF31395FA2}" uniqueName="66" name="AWU - Overtime Meal Allowance (Meal)" queryTableFieldId="925"/>
    <tableColumn id="69" xr3:uid="{3F145683-C48E-45E3-9701-3B144CF5C6A3}" uniqueName="69" name="AWU - Overtime Meal Allowance ($)" queryTableFieldId="926"/>
    <tableColumn id="72" xr3:uid="{5B5D8489-4D8B-4209-A472-ADFE84B5ED97}" uniqueName="72" name="Superannuation Salary Sacrifice $" queryTableFieldId="347"/>
    <tableColumn id="76" xr3:uid="{37C33E37-7F6C-4572-BE02-77DF3258F007}" uniqueName="76" name="Child Support" queryTableFieldId="789"/>
    <tableColumn id="77" xr3:uid="{7BFC725E-ED3C-4BB2-B5A2-653CA91AF3C2}" uniqueName="77" name="Extra Tax %" queryTableFieldId="873"/>
    <tableColumn id="12" xr3:uid="{9BADA65E-9879-42EB-90C1-B75234726BC0}" uniqueName="12" name="Cost Amount" queryTableFieldId="12"/>
    <tableColumn id="13" xr3:uid="{C9835681-0B55-49E3-8B6B-937425474ABB}" uniqueName="13" name="Employee Category" queryTableFieldId="13"/>
    <tableColumn id="14" xr3:uid="{2418F5FE-7B87-4EE1-8214-A0DA02BD45CF}" uniqueName="14" name="Pay Element - Copy" queryTableFieldId="14"/>
    <tableColumn id="29" xr3:uid="{D3BC1572-B3BC-4C9C-AE8B-0523C1FF77DA}" uniqueName="29" name="Net" queryTableFieldId="283"/>
    <tableColumn id="30" xr3:uid="{A6F89473-6488-43CA-A3B5-DD0BAB817463}" uniqueName="30" name="SG Contribution" queryTableFieldId="284"/>
    <tableColumn id="15" xr3:uid="{3A594C47-AB51-4934-A851-17B6D6F08716}" uniqueName="15" name="Work State" queryTableFieldId="15"/>
    <tableColumn id="16" xr3:uid="{A81BC3F9-5429-4664-BF7D-1491D15D01E2}" uniqueName="16" name="Payslip No." queryTableFieldId="16"/>
    <tableColumn id="31" xr3:uid="{43F11A23-9A97-4050-A6DA-9E069BE64043}" uniqueName="31" name="Severance (Protect)" queryTableFieldId="285"/>
    <tableColumn id="33" xr3:uid="{8D265579-EE55-49D5-960A-6D7014C7BBE2}" uniqueName="33" name="Income Protection (WAGEGUARD)" queryTableFieldId="286"/>
    <tableColumn id="73" xr3:uid="{AD32C97A-EDB4-4B7F-8015-1D24C38A0E73}" uniqueName="73" name="AWU - Severance (Protect)" queryTableFieldId="927"/>
    <tableColumn id="74" xr3:uid="{678A1E88-F5BD-44CF-A057-FCE5F2259AE9}" uniqueName="74" name="AWU - Mental Health Levy" queryTableFieldId="928"/>
    <tableColumn id="62" xr3:uid="{C2791FAE-C177-4236-8901-8434A29EF466}" uniqueName="62" name="AWU Chifley Insurance" queryTableFieldId="1109"/>
    <tableColumn id="71" xr3:uid="{BA984E63-E208-4314-BB2E-1F848C1876D5}" uniqueName="71" name="_1" queryTableFieldId="591"/>
    <tableColumn id="80" xr3:uid="{69E0D896-45C0-47AF-8021-2C87FD0FDA52}" uniqueName="80" name="_2" queryTableFieldId="973"/>
    <tableColumn id="32" xr3:uid="{DDAB6124-65A0-4D57-BC40-374AD25419D4}" uniqueName="32" name="_3" queryTableFieldId="1068"/>
    <tableColumn id="38" xr3:uid="{0BBE4FC9-3887-449F-8707-D9A77C6BE663}" uniqueName="38" name="_4" queryTableFieldId="1069"/>
    <tableColumn id="17" xr3:uid="{8763A312-A5E5-472C-8099-68FF0010811F}" uniqueName="17" name="Transaction Type" queryTableFieldId="17"/>
    <tableColumn id="22" xr3:uid="{C9F758C3-3675-457C-BF93-F4331BCA15BE}" uniqueName="22" name="Payment Type" queryTableFieldId="22"/>
    <tableColumn id="39" xr3:uid="{F7A54D67-C97D-46D4-B7AA-A5DFBD10E252}" uniqueName="39" name="Gross" queryTableFieldId="39"/>
    <tableColumn id="40" xr3:uid="{50C9561F-C058-4049-85A5-7CAC5ECC4A01}" uniqueName="40" name="Taxable Income" queryTableFieldId="40"/>
    <tableColumn id="43" xr3:uid="{63A5C084-04D8-4162-BBC4-A84D0FF9DCCF}" uniqueName="43" name="Total Tax" queryTableFieldId="43"/>
    <tableColumn id="45" xr3:uid="{6282EA3B-6F68-4C0F-9533-EF598AA1D756}" uniqueName="45" name="Site Allowance - VIC (Qty)" queryTableFieldId="45"/>
    <tableColumn id="46" xr3:uid="{277ACDD1-162A-48C8-9D8C-B4977C7DDF0F}" uniqueName="46" name="Site Allowance - VIC ($)" queryTableFieldId="46"/>
    <tableColumn id="50" xr3:uid="{F9777C7E-474E-4060-8145-1CDBAAFF69ED}" uniqueName="50" name="NT" queryTableFieldId="50"/>
    <tableColumn id="51" xr3:uid="{B0D3B0E6-FF6D-417B-B0C2-288E2A1D6AA3}" uniqueName="51" name="NT Shift" queryTableFieldId="51"/>
    <tableColumn id="52" xr3:uid="{F2CA5BDD-CE1C-4994-BBD3-60FEA81B6B08}" uniqueName="52" name="OT" queryTableFieldId="52"/>
    <tableColumn id="53" xr3:uid="{66731E2C-0F59-431F-819B-3E64CF447E2E}" uniqueName="53" name="PH" queryTableFieldId="53"/>
    <tableColumn id="54" xr3:uid="{ACBF171F-151B-4E11-ACAE-4BB1833D0222}" uniqueName="54" name="Site Allowance" queryTableFieldId="54"/>
    <tableColumn id="55" xr3:uid="{9029D977-2BBF-447E-849E-9DC80A8D7A5C}" uniqueName="55" name="Tool Allowance" queryTableFieldId="55"/>
    <tableColumn id="78" xr3:uid="{6FC2F999-41F4-447A-AAA7-0312F3FDEDA8}" uniqueName="78" name="Leading Hand (up to 5 Reports)" queryTableFieldId="596"/>
    <tableColumn id="56" xr3:uid="{C3848EBB-E7CF-4E47-B8EB-DAB966F88A9E}" uniqueName="56" name="Overtime Meal Allowance" queryTableFieldId="56"/>
    <tableColumn id="57" xr3:uid="{F725C90D-7BC7-41AE-9E7F-32564DF92AAF}" uniqueName="57" name="First Aid L2" queryTableFieldId="57"/>
    <tableColumn id="58" xr3:uid="{BEEA7AC5-0AA5-4CB2-AC4D-15700A05F317}" uniqueName="58" name="First Aid L3" queryTableFieldId="58"/>
    <tableColumn id="59" xr3:uid="{8521A9EB-2575-4B14-9A2E-E2D3AFEF2DBD}" uniqueName="59" name="Travel &amp; Fares Allowance" queryTableFieldId="59"/>
    <tableColumn id="61" xr3:uid="{7DEF893E-C582-4863-957C-D6E684DF029B}" uniqueName="61" name="Surname - Copy" queryTableFieldId="169"/>
    <tableColumn id="60" xr3:uid="{1E8C2162-DC2A-4A60-986F-83ACF5EE10BC}" uniqueName="60" name="Overtime Productivity Allowance" queryTableFieldId="60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4223262-585C-49E6-8967-1181E629B48D}" name="CBD_Invoice" displayName="CBD_Invoice" ref="A1:CC100" tableType="queryTable" totalsRowCount="1">
  <autoFilter ref="A1:CC99" xr:uid="{26C41CF3-EF13-4643-83B1-2FA77DB8D393}"/>
  <sortState xmlns:xlrd2="http://schemas.microsoft.com/office/spreadsheetml/2017/richdata2" ref="A2:CC99">
    <sortCondition descending="1" ref="B1:B99"/>
  </sortState>
  <tableColumns count="81">
    <tableColumn id="1" xr3:uid="{D1DA39A6-2057-4677-B617-7CCE57FE4194}" uniqueName="1" name="Employee Number" queryTableFieldId="1"/>
    <tableColumn id="10" xr3:uid="{91007A2A-8A08-41C4-8775-9D876F5EDB8A}" uniqueName="10" name="Serviced" queryTableFieldId="10" dataDxfId="7" totalsRowDxfId="8"/>
    <tableColumn id="14" xr3:uid="{EB1EFB1A-5FAE-45B4-A879-CBBF62911CEE}" uniqueName="14" name="Description" queryTableFieldId="14"/>
    <tableColumn id="5" xr3:uid="{0CAF4CC4-E1B9-41C2-9E3C-DDC3181539FD}" uniqueName="5" name="Unit" queryTableFieldId="5" dataDxfId="6" dataCellStyle="Comma"/>
    <tableColumn id="8" xr3:uid="{870F06ED-5233-436F-ACD4-8FE4957EF389}" uniqueName="8" name="Rate" queryTableFieldId="8" dataDxfId="5" totalsRowDxfId="9" dataCellStyle="Comma"/>
    <tableColumn id="9" xr3:uid="{B528FFC7-C0DB-434E-B246-15BB7C388817}" uniqueName="9" name="Amount" totalsRowFunction="sum" queryTableFieldId="9" dataDxfId="4" totalsRowDxfId="10" dataCellStyle="Comma"/>
    <tableColumn id="12" xr3:uid="{B89085CD-CA9C-4EC8-85D4-D11EBB9F14A9}" uniqueName="12" name="Location" queryTableFieldId="12"/>
    <tableColumn id="41" xr3:uid="{F6499CD0-89AA-451E-8AC3-D454A57E63B4}" uniqueName="41" name="Job Classification" queryTableFieldId="57"/>
    <tableColumn id="42" xr3:uid="{F5A4CC1E-B672-4389-9633-1EA58231F9FF}" uniqueName="42" name="Client" queryTableFieldId="58"/>
    <tableColumn id="24" xr3:uid="{4DA0E298-14C5-4C0F-BCF3-970B36F2E1FF}" uniqueName="24" name="Margin" queryTableFieldId="243"/>
    <tableColumn id="22" xr3:uid="{E2AB7885-874F-49D3-A868-B83F0EA25339}" uniqueName="22" name="Normal Hourly (Qty)" queryTableFieldId="990"/>
    <tableColumn id="26" xr3:uid="{177FBCEA-4E1E-4D42-80FD-9957B073E077}" uniqueName="26" name="Normal Hourly ($)" queryTableFieldId="991"/>
    <tableColumn id="27" xr3:uid="{C7215B03-A822-4C56-BAE4-DCB764A06391}" uniqueName="27" name="Overtime 2.0 (Qty)" queryTableFieldId="992"/>
    <tableColumn id="34" xr3:uid="{73F1CE6D-8447-4D14-A5D6-33C17B1C8C49}" uniqueName="34" name="Overtime 2.0 ($)" queryTableFieldId="993"/>
    <tableColumn id="11" xr3:uid="{808E0C3A-CB34-4740-A5A5-E7D5B7BED668}" uniqueName="11" name="Annual Leave (Qty)" queryTableFieldId="1782"/>
    <tableColumn id="13" xr3:uid="{A8332B46-4C29-4349-BF22-5B89DBEE2414}" uniqueName="13" name="Annual Leave ($)" queryTableFieldId="1783"/>
    <tableColumn id="15" xr3:uid="{39224BE8-7A9D-4CCA-B153-F7E7FDD2455F}" uniqueName="15" name="Annual Leave Loading (Qty)" queryTableFieldId="1784"/>
    <tableColumn id="16" xr3:uid="{BEC71E81-83AF-4858-948F-0D8FCE9F2EEC}" uniqueName="16" name="Annual Leave Loading ($)" queryTableFieldId="1785"/>
    <tableColumn id="25" xr3:uid="{ECF268E7-BD62-4A8E-9974-8F2A90B88670}" uniqueName="25" name="RDO Taken (Qty)" queryTableFieldId="1729"/>
    <tableColumn id="28" xr3:uid="{452B9188-3DC7-4571-8848-639AEAAC8B3C}" uniqueName="28" name="RDO Taken ($)" queryTableFieldId="1730"/>
    <tableColumn id="66" xr3:uid="{CA9551CD-8D84-47FC-ADF8-7526E8777DD6}" uniqueName="66" name="RDO Bank (Qty)" queryTableFieldId="994"/>
    <tableColumn id="67" xr3:uid="{30DEC815-088E-421F-8B68-E429EE53F603}" uniqueName="67" name="RDO Bank ($)" queryTableFieldId="995"/>
    <tableColumn id="17" xr3:uid="{339B7AF8-FE5D-4D93-841A-9C6C1EB8CE73}" uniqueName="17" name="Night Shift 200% (Qty)" queryTableFieldId="1018"/>
    <tableColumn id="18" xr3:uid="{9ABD0C56-7476-4936-AC15-A212AD7C3E6A}" uniqueName="18" name="Night Shift 200% ($)" queryTableFieldId="1019"/>
    <tableColumn id="2" xr3:uid="{58AA56EF-BC2C-4D3D-AEC4-F4089C565659}" uniqueName="2" name="Employee Category" queryTableFieldId="24"/>
    <tableColumn id="3" xr3:uid="{9D04811E-32E3-40D1-B86D-A2E2453B6370}" uniqueName="3" name="Work State" queryTableFieldId="25"/>
    <tableColumn id="70" xr3:uid="{34BC4499-509B-4ECA-BCBA-83E502A6C8E8}" uniqueName="70" name="Overtime 1.8 (Qty)" queryTableFieldId="998"/>
    <tableColumn id="71" xr3:uid="{B642DAF1-2258-4764-9E34-A5103C92652C}" uniqueName="71" name="Overtime 1.8 ($)" queryTableFieldId="999"/>
    <tableColumn id="62" xr3:uid="{7B2A99C8-1118-4816-9711-15E79002B203}" uniqueName="62" name="Nightshift 1.8 (Qty)" queryTableFieldId="1020"/>
    <tableColumn id="63" xr3:uid="{0C34E03B-2739-434B-A492-385AE01D84E3}" uniqueName="63" name="Nightshift 1.8 ($)" queryTableFieldId="1021"/>
    <tableColumn id="44" xr3:uid="{B5B71937-F165-40E6-9462-E6630079F824}" uniqueName="44" name="Rain Work 1.0 (Qty)" queryTableFieldId="1786"/>
    <tableColumn id="61" xr3:uid="{3DDFAAF1-759B-4DD3-BFA5-FFC3746AA0E0}" uniqueName="61" name="Rain Work 1.0 ($)" queryTableFieldId="1787"/>
    <tableColumn id="32" xr3:uid="{9A1B0BF8-6740-4F34-91BD-777EACB867A1}" uniqueName="32" name="Overtime Productivity Allowance-VIC (Qty)" queryTableFieldId="750"/>
    <tableColumn id="33" xr3:uid="{7724D217-5615-4218-B8A6-62DCB6E41CAD}" uniqueName="33" name="Overtime Productivity Allowance-VIC ($)" queryTableFieldId="751"/>
    <tableColumn id="45" xr3:uid="{91FBD4E6-E215-40B2-AA91-604E3F77E942}" uniqueName="45" name="AMWU - Meal Allowance (Meal)" queryTableFieldId="1469"/>
    <tableColumn id="64" xr3:uid="{8314F9E8-B9DA-45C5-808C-BB311864541A}" uniqueName="64" name="AMWU - Meal Allowance ($)" queryTableFieldId="1470"/>
    <tableColumn id="68" xr3:uid="{936426E6-2E20-4A60-B188-9E09B7BAFB5E}" uniqueName="68" name="AMWU - Travel &amp; Fares (Travel)" queryTableFieldId="1471"/>
    <tableColumn id="78" xr3:uid="{B2EE3BE4-D862-4DE2-9152-2D830B2101D1}" uniqueName="78" name="AMWU - Travel &amp; Fares ($)" queryTableFieldId="1472"/>
    <tableColumn id="4" xr3:uid="{CF54409A-9003-4BC9-A86F-E8648ED0377C}" uniqueName="4" name="Payslip No." queryTableFieldId="26"/>
    <tableColumn id="6" xr3:uid="{C51878BA-CFE5-43F3-B185-6A17C10C5DAB}" uniqueName="6" name="Transaction Type" queryTableFieldId="27"/>
    <tableColumn id="30" xr3:uid="{DFC9F23F-3B1A-42EA-B4F3-7EEEEE83E1B2}" uniqueName="30" name="AWU - Travel Allowance (Travel)" queryTableFieldId="1546"/>
    <tableColumn id="31" xr3:uid="{527E88F6-3D5C-4A3C-85C5-D89CF1341840}" uniqueName="31" name="AWU - Travel Allowance ($)" queryTableFieldId="1547"/>
    <tableColumn id="69" xr3:uid="{2A187245-33EA-442E-A6CF-FB63C46C8F22}" uniqueName="69" name="AWU - Overtime Meal Allowance (Meal)" queryTableFieldId="1612"/>
    <tableColumn id="72" xr3:uid="{7A3E1B43-0C5B-4CBC-AD03-8AA808CE5FF8}" uniqueName="72" name="AWU - Overtime Meal Allowance ($)" queryTableFieldId="1613"/>
    <tableColumn id="75" xr3:uid="{4A3F4CEB-2B7F-4DB7-9A72-266E674471F2}" uniqueName="75" name="Superannuation Salary Sacrifice $" queryTableFieldId="1024"/>
    <tableColumn id="79" xr3:uid="{AD60C592-E2D9-4F26-B15C-B6C03F5D0F79}" uniqueName="79" name="Child Support" queryTableFieldId="1473"/>
    <tableColumn id="80" xr3:uid="{348D6EC4-ED18-4E62-AE34-451BEC293A16}" uniqueName="80" name="Extra Tax %" queryTableFieldId="1558"/>
    <tableColumn id="7" xr3:uid="{8C21E496-2214-4F10-81D7-29EE902E75BC}" uniqueName="7" name="Payment Type" queryTableFieldId="28"/>
    <tableColumn id="35" xr3:uid="{91ED0210-6DA4-4345-BDE2-F03B1EE17A53}" uniqueName="35" name="Gross" queryTableFieldId="51"/>
    <tableColumn id="36" xr3:uid="{00F08F28-4312-4A3B-9400-6044D23DE897}" uniqueName="36" name="Taxable Income" queryTableFieldId="52"/>
    <tableColumn id="19" xr3:uid="{4448820A-3276-4D22-98B0-5DAAEDE68558}" uniqueName="19" name="Net" queryTableFieldId="959"/>
    <tableColumn id="20" xr3:uid="{E7F76390-4D39-47A0-A1E5-B0BA327DCF9C}" uniqueName="20" name="SG Contribution" queryTableFieldId="960"/>
    <tableColumn id="37" xr3:uid="{7F3B7330-A774-45F7-A83E-2B901FF54F36}" uniqueName="37" name="Total Tax" queryTableFieldId="53"/>
    <tableColumn id="39" xr3:uid="{9CDDEBFD-46AD-4E95-BD1B-8E94217B5E37}" uniqueName="39" name="Site Allowance - VIC (Qty)" queryTableFieldId="222"/>
    <tableColumn id="21" xr3:uid="{77B174D9-54EE-469D-890F-7747E39B8007}" uniqueName="21" name="Severance (Protect)" queryTableFieldId="961"/>
    <tableColumn id="23" xr3:uid="{C90F89BF-9410-4F47-A7CA-349491CB4D01}" uniqueName="23" name="Income Protection (WAGEGUARD)" queryTableFieldId="962"/>
    <tableColumn id="76" xr3:uid="{0A683CB5-020F-4910-982F-3569755C773A}" uniqueName="76" name="AWU - Severance (Protect)" queryTableFieldId="1614"/>
    <tableColumn id="77" xr3:uid="{F677C24C-FD5A-4BC0-A815-08C7A48202DF}" uniqueName="77" name="AWU - Mental Health Levy" queryTableFieldId="1615"/>
    <tableColumn id="65" xr3:uid="{8BE18240-BFA1-43EB-9B14-F855807620B6}" uniqueName="65" name="AWU Chifley Insurance" queryTableFieldId="1802"/>
    <tableColumn id="74" xr3:uid="{E4429CA6-6EE5-4EEC-A083-2855FFE3DB54}" uniqueName="74" name="_1" queryTableFieldId="1274"/>
    <tableColumn id="83" xr3:uid="{B9F965DB-8C87-4E3B-8582-E660460F803C}" uniqueName="83" name="_2" queryTableFieldId="1663"/>
    <tableColumn id="29" xr3:uid="{4DE23F48-E3F4-40DF-A84E-811D4F00835E}" uniqueName="29" name="_3" queryTableFieldId="1760"/>
    <tableColumn id="38" xr3:uid="{4DED483F-A75E-4C9E-9E65-1EF68CE1E5C0}" uniqueName="38" name="_4" queryTableFieldId="1761"/>
    <tableColumn id="40" xr3:uid="{C3FB8692-1B61-45D8-96A3-527D7C353977}" uniqueName="40" name="Site Allowance - VIC ($)" queryTableFieldId="223"/>
    <tableColumn id="46" xr3:uid="{38342727-0416-493A-A6F5-462DA014BFA9}" uniqueName="46" name="Pay Element" queryTableFieldId="62"/>
    <tableColumn id="47" xr3:uid="{08C83479-CC18-4189-A45C-09076176A98B}" uniqueName="47" name="Name" queryTableFieldId="63"/>
    <tableColumn id="48" xr3:uid="{037C68E9-494B-4DA2-94B2-F2D76A608185}" uniqueName="48" name="Surname" queryTableFieldId="64"/>
    <tableColumn id="49" xr3:uid="{65C403EC-483E-4ECE-8CE5-696A2BC00FB9}" uniqueName="49" name="Cost Rate" queryTableFieldId="65"/>
    <tableColumn id="50" xr3:uid="{9E212D93-305C-42FD-95F4-5379681ED2CC}" uniqueName="50" name="NT" queryTableFieldId="66"/>
    <tableColumn id="51" xr3:uid="{94C9E7B4-D983-4147-8323-AFF61E91F6D8}" uniqueName="51" name="NT Shift" queryTableFieldId="67"/>
    <tableColumn id="52" xr3:uid="{A2578B53-ADCE-4297-B9F1-48BA48C97A00}" uniqueName="52" name="OT" queryTableFieldId="68"/>
    <tableColumn id="53" xr3:uid="{FFA44858-942A-4B80-82DA-8FC19E5C4DAE}" uniqueName="53" name="PH" queryTableFieldId="69"/>
    <tableColumn id="54" xr3:uid="{51D6262D-0099-4FA3-BAD7-92B1F9EA33E4}" uniqueName="54" name="Site Allowance" queryTableFieldId="70"/>
    <tableColumn id="55" xr3:uid="{552E0D97-E4F6-4ECF-A899-36603B06A304}" uniqueName="55" name="Overtime Meal Allowance" queryTableFieldId="71"/>
    <tableColumn id="56" xr3:uid="{812C6494-44CC-450D-BFEB-5986BF674B6B}" uniqueName="56" name="First Aid L2" queryTableFieldId="72"/>
    <tableColumn id="43" xr3:uid="{B51DE8D1-31B4-493B-BCC4-215614199C43}" uniqueName="43" name="Tool Allowance" queryTableFieldId="299"/>
    <tableColumn id="81" xr3:uid="{FB889D26-6C83-4795-ABD2-6A1A1A2254AB}" uniqueName="81" name="Leading Hand (up to 5 Reports)" queryTableFieldId="1279"/>
    <tableColumn id="57" xr3:uid="{2EEF9583-8F90-4D77-A86A-BFA621E8F915}" uniqueName="57" name="First Aid L3" queryTableFieldId="73"/>
    <tableColumn id="58" xr3:uid="{01C3348F-831A-499C-BCC6-6D0F66CF5DAC}" uniqueName="58" name="Travel &amp; Fares Allowance" queryTableFieldId="74"/>
    <tableColumn id="59" xr3:uid="{3516CAC0-42FE-4F4E-8F3C-0CFC1F27280C}" uniqueName="59" name="Overtime Productivity Allowance" queryTableFieldId="75"/>
    <tableColumn id="60" xr3:uid="{D5765B1F-9539-4EC1-B18D-A3C7596EC0E9}" uniqueName="60" name="Cost Amount" totalsRowFunction="sum" queryTableFieldId="76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7B0B2B6-D48B-4FD2-848C-97F2DD86A651}" name="DOM_Invoice" displayName="DOM_Invoice" ref="A1:CC27" tableType="queryTable" totalsRowCount="1">
  <autoFilter ref="A1:CC26" xr:uid="{07B0B2B6-D48B-4FD2-848C-97F2DD86A651}"/>
  <sortState xmlns:xlrd2="http://schemas.microsoft.com/office/spreadsheetml/2017/richdata2" ref="A2:CC26">
    <sortCondition descending="1" ref="B1:B26"/>
  </sortState>
  <tableColumns count="81">
    <tableColumn id="1" xr3:uid="{0B50839F-58BD-44B4-AD56-E44D6E368DB6}" uniqueName="1" name="Employee Number" queryTableFieldId="1"/>
    <tableColumn id="2" xr3:uid="{325C8291-3FD9-466F-9AEC-14B3B4269B34}" uniqueName="2" name="Serviced" queryTableFieldId="2" dataDxfId="2" totalsRowDxfId="3"/>
    <tableColumn id="3" xr3:uid="{96F39350-219E-4B3C-8453-8BCC48D52C4F}" uniqueName="3" name="Description" queryTableFieldId="3"/>
    <tableColumn id="4" xr3:uid="{73A4F4DA-F59A-43D3-A06C-54C162A1CA0C}" uniqueName="4" name="Unit" queryTableFieldId="4"/>
    <tableColumn id="5" xr3:uid="{8198D27B-CD74-41CE-B413-2B2F069D8A33}" uniqueName="5" name="Rate" queryTableFieldId="5"/>
    <tableColumn id="6" xr3:uid="{5496B14E-7F20-4A11-AA60-B6B50CA0FEFF}" uniqueName="6" name="Amount" totalsRowFunction="sum" queryTableFieldId="6"/>
    <tableColumn id="7" xr3:uid="{57F40A3A-70F5-4293-A78A-A3E0DAF20389}" uniqueName="7" name="Location" queryTableFieldId="7"/>
    <tableColumn id="8" xr3:uid="{5BC7E181-135B-4AD0-88BF-2415BA718DB2}" uniqueName="8" name="Job Classification" queryTableFieldId="8"/>
    <tableColumn id="9" xr3:uid="{60B146F1-6559-49F6-A1DD-0AD72117E4EF}" uniqueName="9" name="Client" queryTableFieldId="9"/>
    <tableColumn id="10" xr3:uid="{4A3746DD-3A91-4CD4-9092-54B71D12001E}" uniqueName="10" name="Margin" queryTableFieldId="10"/>
    <tableColumn id="32" xr3:uid="{DE5AF10D-6FC9-4C4B-BEC4-CC3A9FED1087}" uniqueName="32" name="Normal Hourly (Qty)" queryTableFieldId="495"/>
    <tableColumn id="34" xr3:uid="{AC29BE1C-B6EB-4447-AEB1-25BC6E43C4B3}" uniqueName="34" name="Normal Hourly ($)" queryTableFieldId="496"/>
    <tableColumn id="35" xr3:uid="{8600AEDA-C770-496A-866F-7822B6A51FD4}" uniqueName="35" name="Overtime 2.0 (Qty)" queryTableFieldId="497"/>
    <tableColumn id="36" xr3:uid="{4E48CD04-FD44-4DD3-82A7-86474A930763}" uniqueName="36" name="Overtime 2.0 ($)" queryTableFieldId="498"/>
    <tableColumn id="16" xr3:uid="{E53A0AB2-D729-4F1B-9597-AF585DECC364}" uniqueName="16" name="Annual Leave (Qty)" queryTableFieldId="1287"/>
    <tableColumn id="17" xr3:uid="{BC4CECC3-6E89-49B7-B08F-53DE44831BEC}" uniqueName="17" name="Annual Leave ($)" queryTableFieldId="1288"/>
    <tableColumn id="18" xr3:uid="{D4718566-634E-43C3-811B-571CFBFE2554}" uniqueName="18" name="Annual Leave Loading (Qty)" queryTableFieldId="1289"/>
    <tableColumn id="19" xr3:uid="{8C79814D-BAE0-426E-8C33-6F475F764A0F}" uniqueName="19" name="Annual Leave Loading ($)" queryTableFieldId="1290"/>
    <tableColumn id="21" xr3:uid="{9368B39A-D18E-47B8-9100-587BD72FA479}" uniqueName="21" name="RDO Taken (Qty)" queryTableFieldId="1234"/>
    <tableColumn id="22" xr3:uid="{BE9ED2FE-19BC-45EA-B21D-7089ED2B5C6D}" uniqueName="22" name="RDO Taken ($)" queryTableFieldId="1235"/>
    <tableColumn id="66" xr3:uid="{5A9A7060-5995-4E52-98F9-1E042DB3ED66}" uniqueName="66" name="RDO Bank (Qty)" queryTableFieldId="499"/>
    <tableColumn id="67" xr3:uid="{D759A50C-E1D5-4134-802B-94EBEFDBDBB3}" uniqueName="67" name="RDO Bank ($)" queryTableFieldId="500"/>
    <tableColumn id="20" xr3:uid="{5C2323BC-8F24-45B9-AA4D-C8BE6DE4B475}" uniqueName="20" name="Night Shift 200% (Qty)" queryTableFieldId="523"/>
    <tableColumn id="23" xr3:uid="{945FD813-0F9D-42B8-AC86-220446586AC8}" uniqueName="23" name="Night Shift 200% ($)" queryTableFieldId="524"/>
    <tableColumn id="11" xr3:uid="{B049797D-E1E6-4132-AD8F-FC6D38D47560}" uniqueName="11" name="Employee Category" queryTableFieldId="11"/>
    <tableColumn id="12" xr3:uid="{0928C673-B468-4478-ADC8-CE8DC30FFFA2}" uniqueName="12" name="Work State" queryTableFieldId="12"/>
    <tableColumn id="70" xr3:uid="{7C22DB69-3E12-49A8-8115-1B4F26BB8E00}" uniqueName="70" name="Overtime 1.8 (Qty)" queryTableFieldId="503"/>
    <tableColumn id="71" xr3:uid="{E1EF38D3-DA4E-4DCE-B583-AA9F77F6CEDC}" uniqueName="71" name="Overtime 1.8 ($)" queryTableFieldId="504"/>
    <tableColumn id="43" xr3:uid="{A984DC13-DB29-43A7-B03F-D68F6F05169C}" uniqueName="43" name="Nightshift 1.8 (Qty)" queryTableFieldId="525"/>
    <tableColumn id="44" xr3:uid="{293CD60A-98FF-4F3E-8735-E41302361D90}" uniqueName="44" name="Nightshift 1.8 ($)" queryTableFieldId="526"/>
    <tableColumn id="46" xr3:uid="{BA78AA00-4089-4874-B5A6-22C779256A66}" uniqueName="46" name="Rain Work 1.0 (Qty)" queryTableFieldId="1291"/>
    <tableColumn id="47" xr3:uid="{AA5668F6-8678-41A4-8EE8-20D933B14DCE}" uniqueName="47" name="Rain Work 1.0 ($)" queryTableFieldId="1292"/>
    <tableColumn id="29" xr3:uid="{7AE61FC9-3CA6-4FBF-B281-78E3222086EE}" uniqueName="29" name="Overtime Productivity Allowance-VIC (Qty)" queryTableFieldId="255"/>
    <tableColumn id="30" xr3:uid="{7A6452D1-D8D7-4B32-8F9D-C54AE4EA50F1}" uniqueName="30" name="Overtime Productivity Allowance-VIC ($)" queryTableFieldId="256"/>
    <tableColumn id="45" xr3:uid="{A1B50B83-F80C-4A0F-BF6F-1AFD51990B7C}" uniqueName="45" name="AMWU - Meal Allowance (Meal)" queryTableFieldId="974"/>
    <tableColumn id="48" xr3:uid="{78999844-1466-4075-AEB3-D7F9384023E5}" uniqueName="48" name="AMWU - Meal Allowance ($)" queryTableFieldId="975"/>
    <tableColumn id="68" xr3:uid="{265C8630-660C-4D19-B7D9-E7692945AADB}" uniqueName="68" name="AMWU - Travel &amp; Fares (Travel)" queryTableFieldId="976"/>
    <tableColumn id="78" xr3:uid="{A3655C34-B7E6-4544-9D2D-83AC489909FC}" uniqueName="78" name="AMWU - Travel &amp; Fares ($)" queryTableFieldId="977"/>
    <tableColumn id="13" xr3:uid="{B5EAA732-ECD5-411C-9248-C3CB3BA66BA5}" uniqueName="13" name="Payslip No." queryTableFieldId="13"/>
    <tableColumn id="14" xr3:uid="{54F64CC3-4888-4DBF-BF79-DB9ED5A993CB}" uniqueName="14" name="Transaction Type" queryTableFieldId="14"/>
    <tableColumn id="25" xr3:uid="{F9E80BD1-01BC-4494-B826-FF33DA17EB69}" uniqueName="25" name="AWU - Travel Allowance (Travel)" queryTableFieldId="1051"/>
    <tableColumn id="26" xr3:uid="{1814FC7F-BA19-4F15-A08D-103C7C3243B5}" uniqueName="26" name="AWU - Travel Allowance ($)" queryTableFieldId="1052"/>
    <tableColumn id="69" xr3:uid="{E76EE957-159C-46E4-B57B-B7D371A766AF}" uniqueName="69" name="AWU - Overtime Meal Allowance (Meal)" queryTableFieldId="1117"/>
    <tableColumn id="72" xr3:uid="{6F168715-49C1-4736-9648-C2ACE51B163C}" uniqueName="72" name="AWU - Overtime Meal Allowance ($)" queryTableFieldId="1118"/>
    <tableColumn id="75" xr3:uid="{CFBA7059-A283-4ADA-8C74-DD26A05BE4E4}" uniqueName="75" name="Superannuation Salary Sacrifice $" queryTableFieldId="529"/>
    <tableColumn id="79" xr3:uid="{B0BFF6C2-F47F-470D-A4BC-197894395192}" uniqueName="79" name="Child Support" queryTableFieldId="978"/>
    <tableColumn id="80" xr3:uid="{94ED4549-A0C4-42FA-88AB-90650C0B03EB}" uniqueName="80" name="Extra Tax %" queryTableFieldId="1063"/>
    <tableColumn id="15" xr3:uid="{54A92DC0-8F5C-4CF2-91A1-C4978D005FC1}" uniqueName="15" name="Payment Type" queryTableFieldId="15"/>
    <tableColumn id="33" xr3:uid="{3F2AB782-14DE-4BA9-BCF1-C18351BF0887}" uniqueName="33" name="Gross" queryTableFieldId="33"/>
    <tableColumn id="38" xr3:uid="{E9A851DD-9D86-4D78-A48F-C722BE874D2E}" uniqueName="38" name="Taxable Income" queryTableFieldId="38"/>
    <tableColumn id="24" xr3:uid="{48323B2B-A2B0-4FCC-8445-E263F568D94A}" uniqueName="24" name="Net" queryTableFieldId="464"/>
    <tableColumn id="27" xr3:uid="{D82A2013-7F59-4342-B1A8-E4D09DBABF4F}" uniqueName="27" name="SG Contribution" queryTableFieldId="465"/>
    <tableColumn id="39" xr3:uid="{F8504B0F-513A-4DB1-9649-8E38BBAB8AE5}" uniqueName="39" name="Total Tax" queryTableFieldId="39"/>
    <tableColumn id="41" xr3:uid="{F77FE0F2-D2E0-4802-96AD-5719C582EBCD}" uniqueName="41" name="Site Allowance - VIC (Qty)" queryTableFieldId="41"/>
    <tableColumn id="28" xr3:uid="{D0DC44C8-EC0A-4F64-ADB2-3402CDE92AB3}" uniqueName="28" name="Severance (Protect)" queryTableFieldId="466"/>
    <tableColumn id="31" xr3:uid="{830529A5-AD89-45D0-A98F-36BB277C75A6}" uniqueName="31" name="Income Protection (WAGEGUARD)" queryTableFieldId="467"/>
    <tableColumn id="76" xr3:uid="{A9B2D147-8536-41E8-97A4-3EAAB4466A81}" uniqueName="76" name="AWU - Severance (Protect)" queryTableFieldId="1119"/>
    <tableColumn id="77" xr3:uid="{DBAC2A38-EEF9-4F92-8F5F-7C1E6BCCA98F}" uniqueName="77" name="AWU - Mental Health Levy" queryTableFieldId="1120"/>
    <tableColumn id="65" xr3:uid="{06FCF2B5-72E4-489A-A2BF-C4CE84017F27}" uniqueName="65" name="AWU Chifley Insurance" queryTableFieldId="1307"/>
    <tableColumn id="74" xr3:uid="{E9B00A35-BF71-47D8-8657-8D348794EBC8}" uniqueName="74" name="_1" queryTableFieldId="779"/>
    <tableColumn id="83" xr3:uid="{F545BAA3-4010-4D8C-8A6F-3F73FA9E2736}" uniqueName="83" name="_2" queryTableFieldId="1168"/>
    <tableColumn id="37" xr3:uid="{1B8B0BF1-727A-46F9-88A2-E1B06FA33878}" uniqueName="37" name="_3" queryTableFieldId="1265"/>
    <tableColumn id="40" xr3:uid="{01F84000-BCD1-4A3C-B760-6440B36DB639}" uniqueName="40" name="_4" queryTableFieldId="1266"/>
    <tableColumn id="42" xr3:uid="{80097115-FBDF-438E-B604-D84408FD3965}" uniqueName="42" name="Site Allowance - VIC ($)" queryTableFieldId="42"/>
    <tableColumn id="49" xr3:uid="{3423199B-BC15-4E87-AEA3-7189B469781E}" uniqueName="49" name="Pay Element" queryTableFieldId="49"/>
    <tableColumn id="50" xr3:uid="{FDF2FB6A-81AD-4AFE-A546-E7131C0DB028}" uniqueName="50" name="Name" queryTableFieldId="50"/>
    <tableColumn id="51" xr3:uid="{C3452E42-2F59-4569-BA9A-7311B0221688}" uniqueName="51" name="Surname" queryTableFieldId="51"/>
    <tableColumn id="52" xr3:uid="{043F4463-2145-426E-A2D0-2AF513E5C187}" uniqueName="52" name="Cost Rate" queryTableFieldId="52"/>
    <tableColumn id="53" xr3:uid="{D5146FB3-68F6-43D5-8D4C-2F1B04DF6DAE}" uniqueName="53" name="NT" queryTableFieldId="53"/>
    <tableColumn id="54" xr3:uid="{86899F26-B47A-4BAE-AC41-FC4D0650FE4B}" uniqueName="54" name="NT Shift" queryTableFieldId="54"/>
    <tableColumn id="55" xr3:uid="{BD3422CB-D358-4D0E-AD88-FDF771164813}" uniqueName="55" name="OT" queryTableFieldId="55"/>
    <tableColumn id="56" xr3:uid="{BB9F0845-1989-4270-B819-34B70D200BDA}" uniqueName="56" name="PH" queryTableFieldId="56"/>
    <tableColumn id="57" xr3:uid="{D76C58E3-D613-4ED2-BDB6-EB97C722D26E}" uniqueName="57" name="Site Allowance" queryTableFieldId="57"/>
    <tableColumn id="58" xr3:uid="{04CDEB2F-B443-4945-AF9F-933839892151}" uniqueName="58" name="Overtime Meal Allowance" queryTableFieldId="58"/>
    <tableColumn id="59" xr3:uid="{5836454D-E265-4D5D-B446-97D1D85DD09A}" uniqueName="59" name="First Aid L2" queryTableFieldId="59"/>
    <tableColumn id="60" xr3:uid="{0D3B21A4-0326-43B2-87D1-4EDA4F0A2323}" uniqueName="60" name="Tool Allowance" queryTableFieldId="60"/>
    <tableColumn id="81" xr3:uid="{C1446AF4-3722-4B18-B2FB-65046BE54D1A}" uniqueName="81" name="Leading Hand (up to 5 Reports)" queryTableFieldId="784"/>
    <tableColumn id="61" xr3:uid="{82A54A18-3B86-46EA-B42A-6D75CEE34A11}" uniqueName="61" name="First Aid L3" queryTableFieldId="61"/>
    <tableColumn id="62" xr3:uid="{B23225F0-76EF-4555-B24E-1FBE1B0587F4}" uniqueName="62" name="Travel &amp; Fares Allowance" queryTableFieldId="62"/>
    <tableColumn id="63" xr3:uid="{A187437E-117C-4AC9-93E6-80277AC69375}" uniqueName="63" name="Overtime Productivity Allowance" queryTableFieldId="63"/>
    <tableColumn id="64" xr3:uid="{110B51DE-2860-44D1-A2FB-70FC9E6172D8}" uniqueName="64" name="Cost Amount" queryTableFieldId="64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8F85BCB-5E70-495E-9372-A48DA1FD284A}" name="ARD_Invoice" displayName="ARD_Invoice" ref="A1:CC25" tableType="queryTable" totalsRowCount="1">
  <autoFilter ref="A1:CC24" xr:uid="{C8F85BCB-5E70-495E-9372-A48DA1FD284A}"/>
  <sortState xmlns:xlrd2="http://schemas.microsoft.com/office/spreadsheetml/2017/richdata2" ref="A2:CC24">
    <sortCondition descending="1" ref="B1:B24"/>
  </sortState>
  <tableColumns count="81">
    <tableColumn id="1" xr3:uid="{80E1947B-CBE2-41A9-AD4C-63F9E962968B}" uniqueName="1" name="Employee Number" queryTableFieldId="1"/>
    <tableColumn id="2" xr3:uid="{9D998F7E-67A9-4111-9DC8-D55D8F2FAD85}" uniqueName="2" name="Serviced" queryTableFieldId="2" dataDxfId="0" totalsRowDxfId="1"/>
    <tableColumn id="3" xr3:uid="{E9BCB125-2DA1-4DCF-8B23-2DD4D1A726BD}" uniqueName="3" name="Description" queryTableFieldId="3"/>
    <tableColumn id="4" xr3:uid="{3027F803-3F3F-4F80-9803-50E0EAB8FA10}" uniqueName="4" name="Unit" queryTableFieldId="4"/>
    <tableColumn id="5" xr3:uid="{3ACCA4E7-0600-488E-AE6D-357A2D81C07F}" uniqueName="5" name="Rate" queryTableFieldId="5"/>
    <tableColumn id="6" xr3:uid="{EFAD887B-801F-42DE-8D87-86C1987F47A6}" uniqueName="6" name="Amount" totalsRowFunction="sum" queryTableFieldId="6"/>
    <tableColumn id="7" xr3:uid="{ED2F9104-81BF-4594-8841-BFF4E661AF29}" uniqueName="7" name="Location" queryTableFieldId="7"/>
    <tableColumn id="8" xr3:uid="{BB7C6DE2-506B-48F5-9015-00615CFAB260}" uniqueName="8" name="Job Classification" queryTableFieldId="8"/>
    <tableColumn id="9" xr3:uid="{20E61CBA-04D7-46F1-86FD-8407CA04301A}" uniqueName="9" name="Client" queryTableFieldId="9"/>
    <tableColumn id="10" xr3:uid="{FD7F157F-260B-4D88-85E5-8915D5A7B372}" uniqueName="10" name="Margin" queryTableFieldId="10"/>
    <tableColumn id="32" xr3:uid="{51880475-D5DB-4DD9-A470-B4EDDBA51E67}" uniqueName="32" name="Normal Hourly (Qty)" queryTableFieldId="495"/>
    <tableColumn id="34" xr3:uid="{39DCD04F-7A1F-47C3-B77B-4F79F3DB90E8}" uniqueName="34" name="Normal Hourly ($)" queryTableFieldId="496"/>
    <tableColumn id="35" xr3:uid="{22762ED7-A4CF-4FE5-85BB-38A8E23EF1FE}" uniqueName="35" name="Overtime 2.0 (Qty)" queryTableFieldId="497"/>
    <tableColumn id="36" xr3:uid="{B91898C7-3585-40A8-B1C0-CB663A8FBD5A}" uniqueName="36" name="Overtime 2.0 ($)" queryTableFieldId="498"/>
    <tableColumn id="16" xr3:uid="{97A505E1-6A4A-4709-B872-622CC261CFA6}" uniqueName="16" name="Annual Leave (Qty)" queryTableFieldId="1287"/>
    <tableColumn id="17" xr3:uid="{EEF3CC4D-5D69-499A-AABB-947F78B44694}" uniqueName="17" name="Annual Leave ($)" queryTableFieldId="1288"/>
    <tableColumn id="18" xr3:uid="{D2E5E3EB-2348-43A2-B181-DD2ED86B0054}" uniqueName="18" name="Annual Leave Loading (Qty)" queryTableFieldId="1289"/>
    <tableColumn id="19" xr3:uid="{C5FB8D93-E7A2-431B-81AB-FF4088B599E5}" uniqueName="19" name="Annual Leave Loading ($)" queryTableFieldId="1290"/>
    <tableColumn id="21" xr3:uid="{D2718291-8F2B-4255-B89E-299B02B7B8AA}" uniqueName="21" name="RDO Taken (Qty)" queryTableFieldId="1234"/>
    <tableColumn id="22" xr3:uid="{803B0639-B105-4F0C-8FF5-6016CB4E1A2C}" uniqueName="22" name="RDO Taken ($)" queryTableFieldId="1235"/>
    <tableColumn id="66" xr3:uid="{7A65E5EE-3249-4FE8-9480-F02846420129}" uniqueName="66" name="RDO Bank (Qty)" queryTableFieldId="499"/>
    <tableColumn id="67" xr3:uid="{B7542B8B-3FC1-42B9-B008-34B7311ABFD7}" uniqueName="67" name="RDO Bank ($)" queryTableFieldId="500"/>
    <tableColumn id="20" xr3:uid="{4061B305-AA4E-488A-B94A-30DB2AE877C2}" uniqueName="20" name="Night Shift 200% (Qty)" queryTableFieldId="523"/>
    <tableColumn id="23" xr3:uid="{D72F73F2-A38B-49DF-8095-2D1C44A4ED9B}" uniqueName="23" name="Night Shift 200% ($)" queryTableFieldId="524"/>
    <tableColumn id="11" xr3:uid="{AFDD5260-1BC9-4559-8D1A-6D1D1C28D5FD}" uniqueName="11" name="Employee Category" queryTableFieldId="11"/>
    <tableColumn id="12" xr3:uid="{0F021D96-BBD5-4569-A945-BA0659E43397}" uniqueName="12" name="Work State" queryTableFieldId="12"/>
    <tableColumn id="70" xr3:uid="{960CE0EA-E626-455A-826A-D4BF82FDF3FB}" uniqueName="70" name="Overtime 1.8 (Qty)" queryTableFieldId="503"/>
    <tableColumn id="71" xr3:uid="{F24C95C1-4017-4F00-9474-2C4118AD2E40}" uniqueName="71" name="Overtime 1.8 ($)" queryTableFieldId="504"/>
    <tableColumn id="43" xr3:uid="{16458B50-0C4E-4EA8-865A-012D5F9AC687}" uniqueName="43" name="Nightshift 1.8 (Qty)" queryTableFieldId="525"/>
    <tableColumn id="44" xr3:uid="{52E196CF-B517-42E9-B0EA-4588740F3D03}" uniqueName="44" name="Nightshift 1.8 ($)" queryTableFieldId="526"/>
    <tableColumn id="46" xr3:uid="{5865D7CE-7FF9-458E-AB42-CFEC600E59D4}" uniqueName="46" name="Rain Work 1.0 (Qty)" queryTableFieldId="1291"/>
    <tableColumn id="47" xr3:uid="{D8EA4E3A-DE17-4167-8E86-D73E44B7F056}" uniqueName="47" name="Rain Work 1.0 ($)" queryTableFieldId="1292"/>
    <tableColumn id="29" xr3:uid="{A0851C21-2A98-4522-A4E2-401734278084}" uniqueName="29" name="Overtime Productivity Allowance-VIC (Qty)" queryTableFieldId="255"/>
    <tableColumn id="30" xr3:uid="{8D615EE8-41CE-41BE-ACC0-191FBA0F1A14}" uniqueName="30" name="Overtime Productivity Allowance-VIC ($)" queryTableFieldId="256"/>
    <tableColumn id="45" xr3:uid="{5C783D04-DA2D-4C1D-BBE0-A7B965FC02E5}" uniqueName="45" name="AMWU - Meal Allowance (Meal)" queryTableFieldId="974"/>
    <tableColumn id="48" xr3:uid="{CEA30B64-4A27-48E4-AB87-09ACC76B4670}" uniqueName="48" name="AMWU - Meal Allowance ($)" queryTableFieldId="975"/>
    <tableColumn id="68" xr3:uid="{7D8D1670-EF0D-4AE6-8C71-26E17D5A3232}" uniqueName="68" name="AMWU - Travel &amp; Fares (Travel)" queryTableFieldId="976"/>
    <tableColumn id="78" xr3:uid="{10363E82-E170-4520-8D5E-3A2E679AC9AF}" uniqueName="78" name="AMWU - Travel &amp; Fares ($)" queryTableFieldId="977"/>
    <tableColumn id="13" xr3:uid="{B4564765-32C7-4FE7-8BD5-88A64F3513A0}" uniqueName="13" name="Payslip No." queryTableFieldId="13"/>
    <tableColumn id="14" xr3:uid="{D222CBC8-B4E5-476E-BD11-84822BA1B19D}" uniqueName="14" name="Transaction Type" queryTableFieldId="14"/>
    <tableColumn id="25" xr3:uid="{4F58EBDA-A4DB-4DB4-AC71-75DB888DC597}" uniqueName="25" name="AWU - Travel Allowance (Travel)" queryTableFieldId="1051"/>
    <tableColumn id="26" xr3:uid="{6D83CAEE-7D75-44A8-AD40-4E1F14F5F022}" uniqueName="26" name="AWU - Travel Allowance ($)" queryTableFieldId="1052"/>
    <tableColumn id="69" xr3:uid="{E146233B-8C66-4D98-B9DF-FAB7F5F11D18}" uniqueName="69" name="AWU - Overtime Meal Allowance (Meal)" queryTableFieldId="1117"/>
    <tableColumn id="72" xr3:uid="{C480C4B9-B7E1-4ECE-84EF-EB238C8F404C}" uniqueName="72" name="AWU - Overtime Meal Allowance ($)" queryTableFieldId="1118"/>
    <tableColumn id="75" xr3:uid="{9615671A-65D4-4A06-AF8A-51574F59B189}" uniqueName="75" name="Superannuation Salary Sacrifice $" queryTableFieldId="529"/>
    <tableColumn id="79" xr3:uid="{C2987DDD-61C0-4FD0-AF4D-50018400C36E}" uniqueName="79" name="Child Support" queryTableFieldId="978"/>
    <tableColumn id="80" xr3:uid="{D17E9FE9-604C-4542-B814-FA70953AF843}" uniqueName="80" name="Extra Tax %" queryTableFieldId="1063"/>
    <tableColumn id="15" xr3:uid="{D3D601B8-8C95-4001-96BF-809349D7C7C4}" uniqueName="15" name="Payment Type" queryTableFieldId="15"/>
    <tableColumn id="33" xr3:uid="{7CF925C1-8885-4042-9163-2A53BFA2F2D0}" uniqueName="33" name="Gross" queryTableFieldId="33"/>
    <tableColumn id="38" xr3:uid="{F401C748-5C01-4CF3-8214-CF4C1CDA2C79}" uniqueName="38" name="Taxable Income" queryTableFieldId="38"/>
    <tableColumn id="24" xr3:uid="{323D3EE0-507D-4680-92A1-A59F7D43D5BF}" uniqueName="24" name="Net" queryTableFieldId="464"/>
    <tableColumn id="27" xr3:uid="{4495A22A-A011-4799-B463-8BC4D1618414}" uniqueName="27" name="SG Contribution" queryTableFieldId="465"/>
    <tableColumn id="39" xr3:uid="{29CEAFE8-5911-429F-89E8-493708AAD09C}" uniqueName="39" name="Total Tax" queryTableFieldId="39"/>
    <tableColumn id="41" xr3:uid="{2F10FA43-9761-483B-95BC-F22C6E1153A9}" uniqueName="41" name="Site Allowance - VIC (Qty)" queryTableFieldId="41"/>
    <tableColumn id="28" xr3:uid="{9B9C8802-F011-437B-A29A-D77675B506FF}" uniqueName="28" name="Severance (Protect)" queryTableFieldId="466"/>
    <tableColumn id="31" xr3:uid="{00ADC3F2-9454-453C-8968-4E479B35AAF2}" uniqueName="31" name="Income Protection (WAGEGUARD)" queryTableFieldId="467"/>
    <tableColumn id="76" xr3:uid="{168E84C0-360D-4DC3-B647-4F825607F44B}" uniqueName="76" name="AWU - Severance (Protect)" queryTableFieldId="1119"/>
    <tableColumn id="77" xr3:uid="{034D0214-AE7B-4C0B-96BA-DDEB6CE86D17}" uniqueName="77" name="AWU - Mental Health Levy" queryTableFieldId="1120"/>
    <tableColumn id="65" xr3:uid="{8250C9E7-F224-4051-8EF0-772E29F751E4}" uniqueName="65" name="AWU Chifley Insurance" queryTableFieldId="1307"/>
    <tableColumn id="74" xr3:uid="{ED5532BB-E044-48CC-B5AC-40DA846CDE46}" uniqueName="74" name="_1" queryTableFieldId="779"/>
    <tableColumn id="83" xr3:uid="{17756BF9-81EA-4EAD-9228-8930C072C7AF}" uniqueName="83" name="_2" queryTableFieldId="1168"/>
    <tableColumn id="37" xr3:uid="{FB379F2F-2541-49EA-B0E6-C9D9C5DBDE6F}" uniqueName="37" name="_3" queryTableFieldId="1265"/>
    <tableColumn id="40" xr3:uid="{0695A424-8F4B-4500-B59C-8307D65AA5C1}" uniqueName="40" name="_4" queryTableFieldId="1266"/>
    <tableColumn id="42" xr3:uid="{5F22F0D7-A337-4D69-8799-D336ECCDB4FA}" uniqueName="42" name="Site Allowance - VIC ($)" queryTableFieldId="42"/>
    <tableColumn id="49" xr3:uid="{18FF6A40-9C3C-4B2D-AA7D-0D87EBB91F31}" uniqueName="49" name="Pay Element" queryTableFieldId="49"/>
    <tableColumn id="50" xr3:uid="{720AE501-AE04-4E33-88ED-C0BBE48D562C}" uniqueName="50" name="Name" queryTableFieldId="50"/>
    <tableColumn id="51" xr3:uid="{B46FB18C-2A99-4A27-A16F-7D49DE3C216E}" uniqueName="51" name="Surname" queryTableFieldId="51"/>
    <tableColumn id="52" xr3:uid="{1DF47E9A-CE32-44E7-B3A9-11264768CC00}" uniqueName="52" name="Cost Rate" queryTableFieldId="52"/>
    <tableColumn id="53" xr3:uid="{B7CB0395-3A17-4DFB-A086-CF511C3AEC63}" uniqueName="53" name="NT" queryTableFieldId="53"/>
    <tableColumn id="54" xr3:uid="{28A629ED-F31B-481A-AEA5-E076BF62B859}" uniqueName="54" name="NT Shift" queryTableFieldId="54"/>
    <tableColumn id="55" xr3:uid="{21744083-4FAA-45A9-9B99-B3436376612B}" uniqueName="55" name="OT" queryTableFieldId="55"/>
    <tableColumn id="56" xr3:uid="{EB2D10B8-CDC9-41F1-817C-008EC0406026}" uniqueName="56" name="PH" queryTableFieldId="56"/>
    <tableColumn id="57" xr3:uid="{147D31C3-6B83-4557-93C1-EF94DE058C31}" uniqueName="57" name="Site Allowance" queryTableFieldId="57"/>
    <tableColumn id="58" xr3:uid="{52DB0BCC-C302-43DA-BCC4-9B7119362459}" uniqueName="58" name="Overtime Meal Allowance" queryTableFieldId="58"/>
    <tableColumn id="59" xr3:uid="{D69361FF-42DF-432B-B28E-0F1EDED2C8DF}" uniqueName="59" name="First Aid L2" queryTableFieldId="59"/>
    <tableColumn id="60" xr3:uid="{15BA5D68-CF58-4611-B355-534BB28DD817}" uniqueName="60" name="Tool Allowance" queryTableFieldId="60"/>
    <tableColumn id="81" xr3:uid="{46285550-45D2-4CBB-83F0-DC90A72BA5DB}" uniqueName="81" name="Leading Hand (up to 5 Reports)" queryTableFieldId="784"/>
    <tableColumn id="61" xr3:uid="{1141E967-3E6A-4927-8F67-1E0D05D3CAF9}" uniqueName="61" name="First Aid L3" queryTableFieldId="61"/>
    <tableColumn id="62" xr3:uid="{22518CE4-06B6-4D67-B580-B6B184927B25}" uniqueName="62" name="Travel &amp; Fares Allowance" queryTableFieldId="62"/>
    <tableColumn id="63" xr3:uid="{EA617EE8-154F-45E8-A2BC-3837F2E603C7}" uniqueName="63" name="Overtime Productivity Allowance" queryTableFieldId="63"/>
    <tableColumn id="64" xr3:uid="{8951E53C-9B08-437D-9C6C-7594BF2C5A60}" uniqueName="64" name="Cost Amount" queryTableFieldId="6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771A7-8AF4-40BB-9451-0EC3AAE57CD0}">
  <sheetPr codeName="Sheet1">
    <tabColor theme="7"/>
  </sheetPr>
  <dimension ref="A1:N31"/>
  <sheetViews>
    <sheetView zoomScaleNormal="100" workbookViewId="0">
      <selection activeCell="G11" sqref="G11"/>
    </sheetView>
  </sheetViews>
  <sheetFormatPr defaultRowHeight="15" x14ac:dyDescent="0.25"/>
  <cols>
    <col min="1" max="1" width="23.28515625" customWidth="1"/>
    <col min="2" max="2" width="7.140625" bestFit="1" customWidth="1"/>
    <col min="3" max="3" width="7.140625" style="1" bestFit="1" customWidth="1"/>
    <col min="4" max="4" width="11.7109375" style="1" bestFit="1" customWidth="1"/>
    <col min="5" max="6" width="8" style="1" bestFit="1" customWidth="1"/>
    <col min="7" max="7" width="17.7109375" style="1" customWidth="1"/>
    <col min="8" max="8" width="27.7109375" style="1" customWidth="1"/>
    <col min="9" max="10" width="14.140625" style="1" customWidth="1"/>
    <col min="11" max="11" width="26.85546875" style="1" customWidth="1"/>
    <col min="12" max="12" width="33.85546875" style="1" customWidth="1"/>
    <col min="13" max="13" width="18.42578125" bestFit="1" customWidth="1"/>
    <col min="14" max="14" width="32.42578125" bestFit="1" customWidth="1"/>
  </cols>
  <sheetData>
    <row r="1" spans="1:14" x14ac:dyDescent="0.25">
      <c r="A1" t="s">
        <v>16</v>
      </c>
      <c r="B1" t="s">
        <v>17</v>
      </c>
      <c r="C1" s="1" t="s">
        <v>18</v>
      </c>
      <c r="D1" s="1" t="s">
        <v>21</v>
      </c>
      <c r="E1" s="1" t="s">
        <v>19</v>
      </c>
      <c r="F1" s="1" t="s">
        <v>20</v>
      </c>
      <c r="G1" s="1" t="s">
        <v>22</v>
      </c>
      <c r="H1" s="1" t="s">
        <v>13</v>
      </c>
      <c r="I1" s="1" t="s">
        <v>23</v>
      </c>
      <c r="J1" s="1" t="s">
        <v>24</v>
      </c>
      <c r="K1" s="1" t="s">
        <v>25</v>
      </c>
      <c r="L1" s="1" t="s">
        <v>14</v>
      </c>
      <c r="M1" s="1" t="s">
        <v>69</v>
      </c>
      <c r="N1" s="1" t="s">
        <v>231</v>
      </c>
    </row>
    <row r="2" spans="1:14" x14ac:dyDescent="0.25">
      <c r="A2" t="s">
        <v>26</v>
      </c>
      <c r="B2" t="s">
        <v>35</v>
      </c>
      <c r="C2">
        <v>107.65</v>
      </c>
      <c r="D2">
        <v>206.1</v>
      </c>
      <c r="E2">
        <v>178.93</v>
      </c>
      <c r="F2">
        <v>260.08999999999997</v>
      </c>
      <c r="G2">
        <v>9.81</v>
      </c>
      <c r="H2">
        <v>38.76</v>
      </c>
      <c r="I2">
        <v>7.67</v>
      </c>
      <c r="J2">
        <v>8.7899999999999991</v>
      </c>
      <c r="K2">
        <v>68.58</v>
      </c>
      <c r="L2">
        <v>2.79</v>
      </c>
      <c r="M2">
        <v>0</v>
      </c>
    </row>
    <row r="3" spans="1:14" x14ac:dyDescent="0.25">
      <c r="A3" t="s">
        <v>27</v>
      </c>
      <c r="B3" t="s">
        <v>35</v>
      </c>
      <c r="C3">
        <v>113.29</v>
      </c>
      <c r="D3">
        <v>217.17</v>
      </c>
      <c r="E3">
        <v>188.81</v>
      </c>
      <c r="F3">
        <v>274.14</v>
      </c>
      <c r="G3">
        <v>9.81</v>
      </c>
      <c r="H3">
        <v>38.76</v>
      </c>
      <c r="I3">
        <v>7.67</v>
      </c>
      <c r="J3">
        <v>8.7899999999999991</v>
      </c>
      <c r="K3">
        <v>68.58</v>
      </c>
      <c r="L3">
        <v>2.79</v>
      </c>
      <c r="M3">
        <v>0</v>
      </c>
    </row>
    <row r="4" spans="1:14" x14ac:dyDescent="0.25">
      <c r="A4" t="s">
        <v>28</v>
      </c>
      <c r="B4" t="s">
        <v>35</v>
      </c>
      <c r="C4">
        <v>123.63</v>
      </c>
      <c r="D4">
        <v>237.48</v>
      </c>
      <c r="E4">
        <v>206.93</v>
      </c>
      <c r="F4">
        <v>299.92</v>
      </c>
      <c r="G4">
        <v>9.81</v>
      </c>
      <c r="H4">
        <v>38.76</v>
      </c>
      <c r="I4">
        <v>7.67</v>
      </c>
      <c r="J4">
        <v>8.7899999999999991</v>
      </c>
      <c r="K4">
        <v>68.58</v>
      </c>
      <c r="L4">
        <v>2.79</v>
      </c>
      <c r="M4">
        <v>0</v>
      </c>
    </row>
    <row r="5" spans="1:14" x14ac:dyDescent="0.25">
      <c r="A5" t="s">
        <v>29</v>
      </c>
      <c r="B5" t="s">
        <v>35</v>
      </c>
      <c r="C5">
        <v>129.15</v>
      </c>
      <c r="D5">
        <v>248.33</v>
      </c>
      <c r="E5">
        <v>216.61</v>
      </c>
      <c r="F5">
        <v>313.7</v>
      </c>
      <c r="G5">
        <v>9.81</v>
      </c>
      <c r="H5">
        <v>38.76</v>
      </c>
      <c r="I5">
        <v>7.67</v>
      </c>
      <c r="J5">
        <v>8.7899999999999991</v>
      </c>
      <c r="K5">
        <v>68.58</v>
      </c>
      <c r="L5">
        <v>2.79</v>
      </c>
      <c r="M5">
        <v>0</v>
      </c>
    </row>
    <row r="6" spans="1:14" x14ac:dyDescent="0.25">
      <c r="A6" t="s">
        <v>30</v>
      </c>
      <c r="B6" t="s">
        <v>35</v>
      </c>
      <c r="C6">
        <v>134.68</v>
      </c>
      <c r="D6">
        <v>259.18</v>
      </c>
      <c r="E6">
        <v>226.3</v>
      </c>
      <c r="F6">
        <v>327.47000000000003</v>
      </c>
      <c r="G6">
        <v>9.81</v>
      </c>
      <c r="H6">
        <v>38.76</v>
      </c>
      <c r="I6">
        <v>7.67</v>
      </c>
      <c r="J6">
        <v>8.7899999999999991</v>
      </c>
      <c r="K6">
        <v>68.58</v>
      </c>
      <c r="L6">
        <v>2.79</v>
      </c>
      <c r="M6">
        <v>0</v>
      </c>
    </row>
    <row r="7" spans="1:14" x14ac:dyDescent="0.25">
      <c r="A7" t="s">
        <v>31</v>
      </c>
      <c r="B7" t="s">
        <v>35</v>
      </c>
      <c r="C7">
        <v>140.19999999999999</v>
      </c>
      <c r="D7">
        <v>270.02999999999997</v>
      </c>
      <c r="E7">
        <v>235.98</v>
      </c>
      <c r="F7">
        <v>341.24</v>
      </c>
      <c r="G7">
        <v>9.81</v>
      </c>
      <c r="H7">
        <v>38.76</v>
      </c>
      <c r="I7">
        <v>7.67</v>
      </c>
      <c r="J7">
        <v>8.7899999999999991</v>
      </c>
      <c r="K7">
        <v>68.58</v>
      </c>
      <c r="L7">
        <v>2.79</v>
      </c>
      <c r="M7">
        <v>0</v>
      </c>
    </row>
    <row r="8" spans="1:14" x14ac:dyDescent="0.25">
      <c r="A8" t="s">
        <v>32</v>
      </c>
      <c r="B8" t="s">
        <v>35</v>
      </c>
      <c r="C8">
        <v>145.72</v>
      </c>
      <c r="D8">
        <v>280.88</v>
      </c>
      <c r="E8">
        <v>245.66</v>
      </c>
      <c r="F8">
        <v>355.02</v>
      </c>
      <c r="G8">
        <v>9.81</v>
      </c>
      <c r="H8">
        <v>38.76</v>
      </c>
      <c r="I8">
        <v>7.67</v>
      </c>
      <c r="J8">
        <v>8.7899999999999991</v>
      </c>
      <c r="K8">
        <v>68.58</v>
      </c>
      <c r="L8">
        <v>2.79</v>
      </c>
      <c r="M8">
        <v>0</v>
      </c>
    </row>
    <row r="9" spans="1:14" x14ac:dyDescent="0.25">
      <c r="A9" t="s">
        <v>10</v>
      </c>
      <c r="B9" t="s">
        <v>35</v>
      </c>
      <c r="C9">
        <v>101.29</v>
      </c>
      <c r="D9">
        <v>180.04</v>
      </c>
      <c r="E9">
        <v>143.13999999999999</v>
      </c>
      <c r="F9">
        <v>209.18</v>
      </c>
      <c r="G9">
        <v>9.81</v>
      </c>
      <c r="H9">
        <v>38.76</v>
      </c>
      <c r="I9">
        <v>7.67</v>
      </c>
      <c r="J9">
        <v>8.7899999999999991</v>
      </c>
      <c r="K9">
        <v>68.58</v>
      </c>
      <c r="L9">
        <v>2.79</v>
      </c>
      <c r="M9">
        <v>0</v>
      </c>
    </row>
    <row r="10" spans="1:14" x14ac:dyDescent="0.25">
      <c r="A10" t="s">
        <v>92</v>
      </c>
      <c r="B10" t="s">
        <v>35</v>
      </c>
      <c r="C10">
        <v>119.99</v>
      </c>
      <c r="D10">
        <v>207.59</v>
      </c>
      <c r="E10">
        <v>177.19</v>
      </c>
      <c r="F10">
        <v>279.02999999999997</v>
      </c>
      <c r="G10">
        <v>14.07</v>
      </c>
      <c r="H10">
        <v>35.43</v>
      </c>
      <c r="I10">
        <v>8.34</v>
      </c>
      <c r="J10">
        <v>9.5500000000000007</v>
      </c>
      <c r="K10">
        <v>73.33</v>
      </c>
      <c r="L10">
        <v>0</v>
      </c>
      <c r="M10">
        <v>45.77</v>
      </c>
    </row>
    <row r="11" spans="1:14" x14ac:dyDescent="0.25">
      <c r="A11" t="s">
        <v>175</v>
      </c>
      <c r="B11" t="s">
        <v>35</v>
      </c>
      <c r="C11">
        <v>117.97</v>
      </c>
      <c r="D11">
        <v>203.97</v>
      </c>
      <c r="E11">
        <v>173.96</v>
      </c>
      <c r="F11">
        <v>274.13</v>
      </c>
      <c r="G11">
        <v>14.07</v>
      </c>
      <c r="H11">
        <v>35.43</v>
      </c>
      <c r="I11">
        <v>8.34</v>
      </c>
      <c r="J11">
        <v>9.5500000000000007</v>
      </c>
      <c r="K11">
        <v>73.33</v>
      </c>
      <c r="L11">
        <v>0</v>
      </c>
      <c r="M11">
        <v>45.77</v>
      </c>
    </row>
    <row r="12" spans="1:14" x14ac:dyDescent="0.25">
      <c r="A12" t="s">
        <v>71</v>
      </c>
      <c r="B12" t="s">
        <v>35</v>
      </c>
      <c r="C12">
        <v>122.67</v>
      </c>
      <c r="D12">
        <v>212.38</v>
      </c>
      <c r="E12">
        <v>181.48</v>
      </c>
      <c r="F12">
        <v>285.52999999999997</v>
      </c>
      <c r="G12">
        <v>14.07</v>
      </c>
      <c r="H12">
        <v>35.43</v>
      </c>
      <c r="I12">
        <v>8.34</v>
      </c>
      <c r="J12">
        <v>9.5500000000000007</v>
      </c>
      <c r="K12">
        <v>73.33</v>
      </c>
      <c r="L12">
        <v>0</v>
      </c>
      <c r="M12">
        <v>45.77</v>
      </c>
    </row>
    <row r="13" spans="1:14" x14ac:dyDescent="0.25">
      <c r="A13" t="s">
        <v>70</v>
      </c>
      <c r="B13" t="s">
        <v>35</v>
      </c>
      <c r="C13">
        <v>126.68</v>
      </c>
      <c r="D13">
        <v>219.58</v>
      </c>
      <c r="E13">
        <v>187.9</v>
      </c>
      <c r="F13">
        <v>295.27999999999997</v>
      </c>
      <c r="G13">
        <v>14.07</v>
      </c>
      <c r="H13">
        <v>35.43</v>
      </c>
      <c r="I13">
        <v>8.34</v>
      </c>
      <c r="J13">
        <v>9.5500000000000007</v>
      </c>
      <c r="K13">
        <v>73.33</v>
      </c>
      <c r="L13">
        <v>0</v>
      </c>
      <c r="M13">
        <v>45.77</v>
      </c>
      <c r="N13">
        <v>74.849999999999994</v>
      </c>
    </row>
    <row r="14" spans="1:14" x14ac:dyDescent="0.25">
      <c r="A14" t="s">
        <v>200</v>
      </c>
      <c r="B14" t="s">
        <v>35</v>
      </c>
      <c r="C14">
        <v>126.68</v>
      </c>
      <c r="D14">
        <v>219.58</v>
      </c>
      <c r="E14">
        <v>187.9</v>
      </c>
      <c r="F14">
        <v>295.27999999999997</v>
      </c>
      <c r="G14">
        <v>14.07</v>
      </c>
      <c r="H14">
        <v>35.43</v>
      </c>
      <c r="I14">
        <v>8.34</v>
      </c>
      <c r="J14">
        <v>9.5500000000000007</v>
      </c>
      <c r="K14">
        <v>73.33</v>
      </c>
      <c r="L14">
        <v>0</v>
      </c>
      <c r="M14">
        <v>45.77</v>
      </c>
      <c r="N14">
        <v>74.849999999999994</v>
      </c>
    </row>
    <row r="15" spans="1:14" x14ac:dyDescent="0.25">
      <c r="A15" t="s">
        <v>75</v>
      </c>
      <c r="B15" t="s">
        <v>35</v>
      </c>
      <c r="C15">
        <v>126.68</v>
      </c>
      <c r="D15">
        <v>219.58</v>
      </c>
      <c r="E15">
        <v>187.9</v>
      </c>
      <c r="F15">
        <v>295.27999999999997</v>
      </c>
      <c r="G15">
        <v>14.07</v>
      </c>
      <c r="H15">
        <v>35.43</v>
      </c>
      <c r="I15">
        <v>8.34</v>
      </c>
      <c r="J15">
        <v>9.5500000000000007</v>
      </c>
      <c r="K15">
        <v>73.33</v>
      </c>
      <c r="L15">
        <v>0</v>
      </c>
      <c r="M15">
        <v>0</v>
      </c>
    </row>
    <row r="16" spans="1:14" x14ac:dyDescent="0.25">
      <c r="A16" t="s">
        <v>212</v>
      </c>
      <c r="B16" t="s">
        <v>35</v>
      </c>
      <c r="C16">
        <v>105.89</v>
      </c>
      <c r="D16">
        <v>182.35</v>
      </c>
      <c r="E16">
        <v>154.63999999999999</v>
      </c>
      <c r="F16">
        <v>244.84</v>
      </c>
      <c r="G16">
        <v>6.31</v>
      </c>
      <c r="H16">
        <v>35.43</v>
      </c>
      <c r="I16">
        <v>8.34</v>
      </c>
      <c r="J16">
        <v>9.5500000000000007</v>
      </c>
      <c r="K16">
        <v>73.33</v>
      </c>
      <c r="L16">
        <v>0</v>
      </c>
      <c r="M16">
        <v>0</v>
      </c>
      <c r="N16">
        <v>74.849999999999994</v>
      </c>
    </row>
    <row r="17" spans="1:14" x14ac:dyDescent="0.25">
      <c r="A17" t="s">
        <v>211</v>
      </c>
      <c r="B17" t="s">
        <v>35</v>
      </c>
      <c r="C17">
        <v>117.97</v>
      </c>
      <c r="D17">
        <v>203.97</v>
      </c>
      <c r="E17">
        <v>173.96</v>
      </c>
      <c r="F17">
        <v>274.13</v>
      </c>
      <c r="G17">
        <v>6.31</v>
      </c>
      <c r="H17">
        <v>35.43</v>
      </c>
      <c r="I17">
        <v>8.34</v>
      </c>
      <c r="J17">
        <v>9.5500000000000007</v>
      </c>
      <c r="K17">
        <v>73.33</v>
      </c>
      <c r="L17">
        <v>0</v>
      </c>
      <c r="M17">
        <v>0</v>
      </c>
      <c r="N17">
        <v>74.849999999999994</v>
      </c>
    </row>
    <row r="18" spans="1:14" x14ac:dyDescent="0.25">
      <c r="A18" t="s">
        <v>213</v>
      </c>
      <c r="B18" t="s">
        <v>35</v>
      </c>
      <c r="C18">
        <v>119.99</v>
      </c>
      <c r="D18">
        <v>207.59</v>
      </c>
      <c r="E18">
        <v>177.19</v>
      </c>
      <c r="F18">
        <v>279.02999999999997</v>
      </c>
      <c r="G18">
        <v>6.31</v>
      </c>
      <c r="H18">
        <v>35.43</v>
      </c>
      <c r="I18">
        <v>8.34</v>
      </c>
      <c r="J18">
        <v>9.5500000000000007</v>
      </c>
      <c r="K18">
        <v>73.33</v>
      </c>
      <c r="L18">
        <v>0</v>
      </c>
      <c r="M18">
        <v>0</v>
      </c>
      <c r="N18">
        <v>74.849999999999994</v>
      </c>
    </row>
    <row r="19" spans="1:14" x14ac:dyDescent="0.25">
      <c r="A19" t="s">
        <v>214</v>
      </c>
      <c r="B19" t="s">
        <v>35</v>
      </c>
      <c r="C19">
        <v>122.67</v>
      </c>
      <c r="D19">
        <v>212.38</v>
      </c>
      <c r="E19">
        <v>181.48</v>
      </c>
      <c r="F19">
        <v>285.52999999999997</v>
      </c>
      <c r="G19">
        <v>6.31</v>
      </c>
      <c r="H19">
        <v>35.43</v>
      </c>
      <c r="I19">
        <v>8.34</v>
      </c>
      <c r="J19">
        <v>9.5500000000000007</v>
      </c>
      <c r="K19">
        <v>73.33</v>
      </c>
      <c r="L19">
        <v>0</v>
      </c>
      <c r="M19">
        <v>0</v>
      </c>
      <c r="N19">
        <v>74.849999999999994</v>
      </c>
    </row>
    <row r="20" spans="1:14" x14ac:dyDescent="0.25">
      <c r="A20" t="s">
        <v>215</v>
      </c>
      <c r="B20" t="s">
        <v>35</v>
      </c>
      <c r="C20">
        <v>126.68</v>
      </c>
      <c r="D20">
        <v>219.58</v>
      </c>
      <c r="E20">
        <v>187.9</v>
      </c>
      <c r="F20">
        <v>295.27999999999997</v>
      </c>
      <c r="G20">
        <v>6.31</v>
      </c>
      <c r="H20">
        <v>35.43</v>
      </c>
      <c r="I20">
        <v>8.34</v>
      </c>
      <c r="J20">
        <v>9.5500000000000007</v>
      </c>
      <c r="K20">
        <v>73.33</v>
      </c>
      <c r="L20">
        <v>0</v>
      </c>
      <c r="M20">
        <v>0</v>
      </c>
      <c r="N20">
        <v>74.849999999999994</v>
      </c>
    </row>
    <row r="21" spans="1:14" x14ac:dyDescent="0.25">
      <c r="A21" t="s">
        <v>216</v>
      </c>
      <c r="B21" t="s">
        <v>35</v>
      </c>
      <c r="C21">
        <v>129.55000000000001</v>
      </c>
      <c r="D21">
        <v>224.36</v>
      </c>
      <c r="E21">
        <v>189.61</v>
      </c>
      <c r="F21">
        <v>319.16000000000003</v>
      </c>
      <c r="G21">
        <v>5.78</v>
      </c>
      <c r="H21">
        <v>40.409999999999997</v>
      </c>
      <c r="I21">
        <v>8.15</v>
      </c>
      <c r="J21">
        <v>9.33</v>
      </c>
      <c r="K21">
        <v>73.790000000000006</v>
      </c>
      <c r="L21">
        <v>0</v>
      </c>
      <c r="M21">
        <v>48.77</v>
      </c>
      <c r="N21">
        <v>80.67</v>
      </c>
    </row>
    <row r="22" spans="1:14" x14ac:dyDescent="0.25">
      <c r="A22" t="s">
        <v>33</v>
      </c>
      <c r="B22" t="s">
        <v>35</v>
      </c>
      <c r="C22">
        <v>88.45</v>
      </c>
      <c r="D22">
        <v>156.63999999999999</v>
      </c>
      <c r="E22">
        <v>123.94</v>
      </c>
      <c r="F22">
        <v>181.87</v>
      </c>
      <c r="G22">
        <v>9.5500000000000007</v>
      </c>
      <c r="H22">
        <v>38.76</v>
      </c>
      <c r="I22">
        <v>7.18</v>
      </c>
      <c r="J22">
        <v>8.2200000000000006</v>
      </c>
      <c r="K22">
        <v>64.290000000000006</v>
      </c>
      <c r="L22">
        <v>2.64</v>
      </c>
      <c r="M22">
        <v>0</v>
      </c>
    </row>
    <row r="23" spans="1:14" x14ac:dyDescent="0.25">
      <c r="A23" t="s">
        <v>34</v>
      </c>
      <c r="B23" t="s">
        <v>35</v>
      </c>
      <c r="C23">
        <v>98.81</v>
      </c>
      <c r="D23">
        <v>175.53</v>
      </c>
      <c r="E23">
        <v>139.44</v>
      </c>
      <c r="F23">
        <v>203.91</v>
      </c>
      <c r="G23">
        <v>9.5500000000000007</v>
      </c>
      <c r="H23">
        <v>38.76</v>
      </c>
      <c r="I23">
        <v>7.18</v>
      </c>
      <c r="J23">
        <v>8.2200000000000006</v>
      </c>
      <c r="K23">
        <v>64.290000000000006</v>
      </c>
      <c r="L23">
        <v>2.64</v>
      </c>
      <c r="M23">
        <v>0</v>
      </c>
    </row>
    <row r="24" spans="1:14" x14ac:dyDescent="0.25">
      <c r="A24" t="s">
        <v>94</v>
      </c>
      <c r="B24" t="s">
        <v>35</v>
      </c>
      <c r="C24">
        <v>107.65</v>
      </c>
      <c r="D24">
        <v>206.1</v>
      </c>
      <c r="E24">
        <v>178.93</v>
      </c>
      <c r="F24">
        <v>260.08999999999997</v>
      </c>
      <c r="G24">
        <v>9.81</v>
      </c>
      <c r="H24">
        <v>38.76</v>
      </c>
      <c r="I24">
        <v>7.67</v>
      </c>
      <c r="J24">
        <v>8.7899999999999991</v>
      </c>
      <c r="K24">
        <v>68.58</v>
      </c>
      <c r="L24">
        <v>2.79</v>
      </c>
      <c r="M24">
        <v>0</v>
      </c>
    </row>
    <row r="25" spans="1:14" x14ac:dyDescent="0.25">
      <c r="A25" t="s">
        <v>95</v>
      </c>
      <c r="B25" t="s">
        <v>35</v>
      </c>
      <c r="C25">
        <v>113.29</v>
      </c>
      <c r="D25">
        <v>217.17</v>
      </c>
      <c r="E25">
        <v>188.81</v>
      </c>
      <c r="F25">
        <v>274.14</v>
      </c>
      <c r="G25">
        <v>9.81</v>
      </c>
      <c r="H25">
        <v>38.76</v>
      </c>
      <c r="I25">
        <v>7.67</v>
      </c>
      <c r="J25">
        <v>8.7899999999999991</v>
      </c>
      <c r="K25">
        <v>68.58</v>
      </c>
      <c r="L25">
        <v>2.79</v>
      </c>
      <c r="M25">
        <v>0</v>
      </c>
    </row>
    <row r="26" spans="1:14" x14ac:dyDescent="0.25">
      <c r="A26" t="s">
        <v>93</v>
      </c>
      <c r="B26" t="s">
        <v>35</v>
      </c>
      <c r="C26">
        <v>123.63</v>
      </c>
      <c r="D26">
        <v>237.48</v>
      </c>
      <c r="E26">
        <v>206.93</v>
      </c>
      <c r="F26">
        <v>299.92</v>
      </c>
      <c r="G26">
        <v>9.81</v>
      </c>
      <c r="H26">
        <v>38.76</v>
      </c>
      <c r="I26">
        <v>7.67</v>
      </c>
      <c r="J26">
        <v>8.7899999999999991</v>
      </c>
      <c r="K26">
        <v>68.58</v>
      </c>
      <c r="L26">
        <v>2.79</v>
      </c>
      <c r="M26">
        <v>0</v>
      </c>
    </row>
    <row r="27" spans="1:14" x14ac:dyDescent="0.25">
      <c r="A27" t="s">
        <v>96</v>
      </c>
      <c r="B27" t="s">
        <v>35</v>
      </c>
      <c r="C27">
        <v>129.15</v>
      </c>
      <c r="D27">
        <v>248.33</v>
      </c>
      <c r="E27">
        <v>216.61</v>
      </c>
      <c r="F27">
        <v>313.7</v>
      </c>
      <c r="G27">
        <v>9.81</v>
      </c>
      <c r="H27">
        <v>38.76</v>
      </c>
      <c r="I27">
        <v>7.67</v>
      </c>
      <c r="J27">
        <v>8.7899999999999991</v>
      </c>
      <c r="K27">
        <v>68.58</v>
      </c>
      <c r="L27">
        <v>2.79</v>
      </c>
      <c r="M27">
        <v>0</v>
      </c>
    </row>
    <row r="28" spans="1:14" x14ac:dyDescent="0.25">
      <c r="A28" t="s">
        <v>97</v>
      </c>
      <c r="B28" t="s">
        <v>35</v>
      </c>
      <c r="C28">
        <v>134.68</v>
      </c>
      <c r="D28">
        <v>259.18</v>
      </c>
      <c r="E28">
        <v>226.3</v>
      </c>
      <c r="F28">
        <v>327.47000000000003</v>
      </c>
      <c r="G28">
        <v>9.81</v>
      </c>
      <c r="H28">
        <v>38.76</v>
      </c>
      <c r="I28">
        <v>7.67</v>
      </c>
      <c r="J28">
        <v>8.7899999999999991</v>
      </c>
      <c r="K28">
        <v>68.58</v>
      </c>
      <c r="L28">
        <v>2.79</v>
      </c>
      <c r="M28">
        <v>0</v>
      </c>
    </row>
    <row r="29" spans="1:14" x14ac:dyDescent="0.25">
      <c r="A29" t="s">
        <v>98</v>
      </c>
      <c r="B29" t="s">
        <v>35</v>
      </c>
      <c r="C29">
        <v>140.19999999999999</v>
      </c>
      <c r="D29">
        <v>270.02999999999997</v>
      </c>
      <c r="E29">
        <v>235.98</v>
      </c>
      <c r="F29">
        <v>341.24</v>
      </c>
      <c r="G29">
        <v>9.81</v>
      </c>
      <c r="H29">
        <v>38.76</v>
      </c>
      <c r="I29">
        <v>7.67</v>
      </c>
      <c r="J29">
        <v>8.7899999999999991</v>
      </c>
      <c r="K29">
        <v>68.58</v>
      </c>
      <c r="L29">
        <v>2.79</v>
      </c>
      <c r="M29">
        <v>0</v>
      </c>
    </row>
    <row r="30" spans="1:14" x14ac:dyDescent="0.25">
      <c r="A30" t="s">
        <v>99</v>
      </c>
      <c r="B30" t="s">
        <v>35</v>
      </c>
      <c r="C30">
        <v>145.72</v>
      </c>
      <c r="D30">
        <v>280.88</v>
      </c>
      <c r="E30">
        <v>245.66</v>
      </c>
      <c r="F30">
        <v>355.02</v>
      </c>
      <c r="G30">
        <v>9.81</v>
      </c>
      <c r="H30">
        <v>38.76</v>
      </c>
      <c r="I30">
        <v>7.67</v>
      </c>
      <c r="J30">
        <v>8.7899999999999991</v>
      </c>
      <c r="K30">
        <v>68.58</v>
      </c>
      <c r="L30">
        <v>2.79</v>
      </c>
      <c r="M30">
        <v>0</v>
      </c>
    </row>
    <row r="31" spans="1:14" x14ac:dyDescent="0.25">
      <c r="A31" t="s">
        <v>91</v>
      </c>
      <c r="B31" t="s">
        <v>35</v>
      </c>
      <c r="C31">
        <v>101.29</v>
      </c>
      <c r="D31">
        <v>180.04</v>
      </c>
      <c r="E31">
        <v>143.13999999999999</v>
      </c>
      <c r="F31">
        <v>209.18</v>
      </c>
      <c r="G31">
        <v>9.81</v>
      </c>
      <c r="H31">
        <v>38.76</v>
      </c>
      <c r="I31">
        <v>7.67</v>
      </c>
      <c r="J31">
        <v>8.7899999999999991</v>
      </c>
      <c r="K31">
        <v>68.58</v>
      </c>
      <c r="L31">
        <v>2.79</v>
      </c>
      <c r="M31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F59D1-18B0-4F39-B2EE-D3A820A92C69}">
  <sheetPr codeName="Sheet9">
    <tabColor theme="9"/>
  </sheetPr>
  <dimension ref="A1:N31"/>
  <sheetViews>
    <sheetView workbookViewId="0">
      <selection sqref="A1:N31"/>
    </sheetView>
  </sheetViews>
  <sheetFormatPr defaultRowHeight="15" x14ac:dyDescent="0.25"/>
  <cols>
    <col min="1" max="1" width="21.7109375" bestFit="1" customWidth="1"/>
    <col min="2" max="2" width="7.140625" bestFit="1" customWidth="1"/>
    <col min="3" max="3" width="7" bestFit="1" customWidth="1"/>
    <col min="4" max="4" width="10.28515625" bestFit="1" customWidth="1"/>
    <col min="5" max="6" width="7" bestFit="1" customWidth="1"/>
    <col min="7" max="7" width="16.5703125" bestFit="1" customWidth="1"/>
    <col min="8" max="8" width="26.85546875" bestFit="1" customWidth="1"/>
    <col min="9" max="10" width="12.85546875" bestFit="1" customWidth="1"/>
    <col min="11" max="11" width="26" bestFit="1" customWidth="1"/>
    <col min="12" max="12" width="33.28515625" bestFit="1" customWidth="1"/>
    <col min="13" max="13" width="17" bestFit="1" customWidth="1"/>
    <col min="14" max="14" width="30.85546875" bestFit="1" customWidth="1"/>
    <col min="15" max="15" width="33.28515625" bestFit="1" customWidth="1"/>
  </cols>
  <sheetData>
    <row r="1" spans="1:14" x14ac:dyDescent="0.25">
      <c r="A1" t="s">
        <v>1</v>
      </c>
      <c r="B1" t="s">
        <v>17</v>
      </c>
      <c r="C1" t="s">
        <v>18</v>
      </c>
      <c r="D1" t="s">
        <v>21</v>
      </c>
      <c r="E1" t="s">
        <v>19</v>
      </c>
      <c r="F1" t="s">
        <v>20</v>
      </c>
      <c r="G1" t="s">
        <v>22</v>
      </c>
      <c r="H1" t="s">
        <v>13</v>
      </c>
      <c r="I1" t="s">
        <v>23</v>
      </c>
      <c r="J1" t="s">
        <v>24</v>
      </c>
      <c r="K1" t="s">
        <v>25</v>
      </c>
      <c r="L1" t="s">
        <v>14</v>
      </c>
      <c r="M1" t="s">
        <v>69</v>
      </c>
      <c r="N1" t="s">
        <v>231</v>
      </c>
    </row>
    <row r="2" spans="1:14" x14ac:dyDescent="0.25">
      <c r="A2" t="s">
        <v>26</v>
      </c>
      <c r="B2" t="s">
        <v>35</v>
      </c>
      <c r="C2">
        <v>107.65</v>
      </c>
      <c r="D2">
        <v>206.1</v>
      </c>
      <c r="E2">
        <v>178.93</v>
      </c>
      <c r="F2">
        <v>260.08999999999997</v>
      </c>
      <c r="G2">
        <v>9.81</v>
      </c>
      <c r="H2">
        <v>38.76</v>
      </c>
      <c r="I2">
        <v>7.67</v>
      </c>
      <c r="J2">
        <v>8.7899999999999991</v>
      </c>
      <c r="K2">
        <v>68.58</v>
      </c>
      <c r="L2">
        <v>2.79</v>
      </c>
      <c r="M2">
        <v>0</v>
      </c>
    </row>
    <row r="3" spans="1:14" x14ac:dyDescent="0.25">
      <c r="A3" t="s">
        <v>27</v>
      </c>
      <c r="B3" t="s">
        <v>35</v>
      </c>
      <c r="C3">
        <v>113.29</v>
      </c>
      <c r="D3">
        <v>217.17</v>
      </c>
      <c r="E3">
        <v>188.81</v>
      </c>
      <c r="F3">
        <v>274.14</v>
      </c>
      <c r="G3">
        <v>9.81</v>
      </c>
      <c r="H3">
        <v>38.76</v>
      </c>
      <c r="I3">
        <v>7.67</v>
      </c>
      <c r="J3">
        <v>8.7899999999999991</v>
      </c>
      <c r="K3">
        <v>68.58</v>
      </c>
      <c r="L3">
        <v>2.79</v>
      </c>
      <c r="M3">
        <v>0</v>
      </c>
    </row>
    <row r="4" spans="1:14" x14ac:dyDescent="0.25">
      <c r="A4" t="s">
        <v>28</v>
      </c>
      <c r="B4" t="s">
        <v>35</v>
      </c>
      <c r="C4">
        <v>123.63</v>
      </c>
      <c r="D4">
        <v>237.48</v>
      </c>
      <c r="E4">
        <v>206.93</v>
      </c>
      <c r="F4">
        <v>299.92</v>
      </c>
      <c r="G4">
        <v>9.81</v>
      </c>
      <c r="H4">
        <v>38.76</v>
      </c>
      <c r="I4">
        <v>7.67</v>
      </c>
      <c r="J4">
        <v>8.7899999999999991</v>
      </c>
      <c r="K4">
        <v>68.58</v>
      </c>
      <c r="L4">
        <v>2.79</v>
      </c>
      <c r="M4">
        <v>0</v>
      </c>
    </row>
    <row r="5" spans="1:14" x14ac:dyDescent="0.25">
      <c r="A5" t="s">
        <v>29</v>
      </c>
      <c r="B5" t="s">
        <v>35</v>
      </c>
      <c r="C5">
        <v>129.15</v>
      </c>
      <c r="D5">
        <v>248.33</v>
      </c>
      <c r="E5">
        <v>216.61</v>
      </c>
      <c r="F5">
        <v>313.7</v>
      </c>
      <c r="G5">
        <v>9.81</v>
      </c>
      <c r="H5">
        <v>38.76</v>
      </c>
      <c r="I5">
        <v>7.67</v>
      </c>
      <c r="J5">
        <v>8.7899999999999991</v>
      </c>
      <c r="K5">
        <v>68.58</v>
      </c>
      <c r="L5">
        <v>2.79</v>
      </c>
      <c r="M5">
        <v>0</v>
      </c>
    </row>
    <row r="6" spans="1:14" x14ac:dyDescent="0.25">
      <c r="A6" t="s">
        <v>30</v>
      </c>
      <c r="B6" t="s">
        <v>35</v>
      </c>
      <c r="C6">
        <v>134.68</v>
      </c>
      <c r="D6">
        <v>259.18</v>
      </c>
      <c r="E6">
        <v>226.3</v>
      </c>
      <c r="F6">
        <v>327.47000000000003</v>
      </c>
      <c r="G6">
        <v>9.81</v>
      </c>
      <c r="H6">
        <v>38.76</v>
      </c>
      <c r="I6">
        <v>7.67</v>
      </c>
      <c r="J6">
        <v>8.7899999999999991</v>
      </c>
      <c r="K6">
        <v>68.58</v>
      </c>
      <c r="L6">
        <v>2.79</v>
      </c>
      <c r="M6">
        <v>0</v>
      </c>
    </row>
    <row r="7" spans="1:14" x14ac:dyDescent="0.25">
      <c r="A7" t="s">
        <v>31</v>
      </c>
      <c r="B7" t="s">
        <v>35</v>
      </c>
      <c r="C7">
        <v>140.19999999999999</v>
      </c>
      <c r="D7">
        <v>270.02999999999997</v>
      </c>
      <c r="E7">
        <v>235.98</v>
      </c>
      <c r="F7">
        <v>341.24</v>
      </c>
      <c r="G7">
        <v>9.81</v>
      </c>
      <c r="H7">
        <v>38.76</v>
      </c>
      <c r="I7">
        <v>7.67</v>
      </c>
      <c r="J7">
        <v>8.7899999999999991</v>
      </c>
      <c r="K7">
        <v>68.58</v>
      </c>
      <c r="L7">
        <v>2.79</v>
      </c>
      <c r="M7">
        <v>0</v>
      </c>
    </row>
    <row r="8" spans="1:14" x14ac:dyDescent="0.25">
      <c r="A8" t="s">
        <v>32</v>
      </c>
      <c r="B8" t="s">
        <v>35</v>
      </c>
      <c r="C8">
        <v>145.72</v>
      </c>
      <c r="D8">
        <v>280.88</v>
      </c>
      <c r="E8">
        <v>245.66</v>
      </c>
      <c r="F8">
        <v>355.02</v>
      </c>
      <c r="G8">
        <v>9.81</v>
      </c>
      <c r="H8">
        <v>38.76</v>
      </c>
      <c r="I8">
        <v>7.67</v>
      </c>
      <c r="J8">
        <v>8.7899999999999991</v>
      </c>
      <c r="K8">
        <v>68.58</v>
      </c>
      <c r="L8">
        <v>2.79</v>
      </c>
      <c r="M8">
        <v>0</v>
      </c>
    </row>
    <row r="9" spans="1:14" x14ac:dyDescent="0.25">
      <c r="A9" t="s">
        <v>10</v>
      </c>
      <c r="B9" t="s">
        <v>35</v>
      </c>
      <c r="C9">
        <v>101.29</v>
      </c>
      <c r="D9">
        <v>180.04</v>
      </c>
      <c r="E9">
        <v>143.13999999999999</v>
      </c>
      <c r="F9">
        <v>209.18</v>
      </c>
      <c r="G9">
        <v>9.81</v>
      </c>
      <c r="H9">
        <v>38.76</v>
      </c>
      <c r="I9">
        <v>7.67</v>
      </c>
      <c r="J9">
        <v>8.7899999999999991</v>
      </c>
      <c r="K9">
        <v>68.58</v>
      </c>
      <c r="L9">
        <v>2.79</v>
      </c>
      <c r="M9">
        <v>0</v>
      </c>
    </row>
    <row r="10" spans="1:14" x14ac:dyDescent="0.25">
      <c r="A10" t="s">
        <v>92</v>
      </c>
      <c r="B10" t="s">
        <v>35</v>
      </c>
      <c r="C10">
        <v>119.99</v>
      </c>
      <c r="D10">
        <v>207.59</v>
      </c>
      <c r="E10">
        <v>177.19</v>
      </c>
      <c r="F10">
        <v>279.02999999999997</v>
      </c>
      <c r="G10">
        <v>14.07</v>
      </c>
      <c r="H10">
        <v>35.43</v>
      </c>
      <c r="I10">
        <v>8.34</v>
      </c>
      <c r="J10">
        <v>9.5500000000000007</v>
      </c>
      <c r="K10">
        <v>73.33</v>
      </c>
      <c r="L10">
        <v>0</v>
      </c>
      <c r="M10">
        <v>45.77</v>
      </c>
    </row>
    <row r="11" spans="1:14" x14ac:dyDescent="0.25">
      <c r="A11" t="s">
        <v>175</v>
      </c>
      <c r="B11" t="s">
        <v>35</v>
      </c>
      <c r="C11">
        <v>117.97</v>
      </c>
      <c r="D11">
        <v>203.97</v>
      </c>
      <c r="E11">
        <v>173.96</v>
      </c>
      <c r="F11">
        <v>274.13</v>
      </c>
      <c r="G11">
        <v>14.07</v>
      </c>
      <c r="H11">
        <v>35.43</v>
      </c>
      <c r="I11">
        <v>8.34</v>
      </c>
      <c r="J11">
        <v>9.5500000000000007</v>
      </c>
      <c r="K11">
        <v>73.33</v>
      </c>
      <c r="L11">
        <v>0</v>
      </c>
      <c r="M11">
        <v>45.77</v>
      </c>
    </row>
    <row r="12" spans="1:14" x14ac:dyDescent="0.25">
      <c r="A12" t="s">
        <v>71</v>
      </c>
      <c r="B12" t="s">
        <v>35</v>
      </c>
      <c r="C12">
        <v>122.67</v>
      </c>
      <c r="D12">
        <v>212.38</v>
      </c>
      <c r="E12">
        <v>181.48</v>
      </c>
      <c r="F12">
        <v>285.52999999999997</v>
      </c>
      <c r="G12">
        <v>14.07</v>
      </c>
      <c r="H12">
        <v>35.43</v>
      </c>
      <c r="I12">
        <v>8.34</v>
      </c>
      <c r="J12">
        <v>9.5500000000000007</v>
      </c>
      <c r="K12">
        <v>73.33</v>
      </c>
      <c r="L12">
        <v>0</v>
      </c>
      <c r="M12">
        <v>45.77</v>
      </c>
    </row>
    <row r="13" spans="1:14" x14ac:dyDescent="0.25">
      <c r="A13" t="s">
        <v>70</v>
      </c>
      <c r="B13" t="s">
        <v>35</v>
      </c>
      <c r="C13">
        <v>126.68</v>
      </c>
      <c r="D13">
        <v>219.58</v>
      </c>
      <c r="E13">
        <v>187.9</v>
      </c>
      <c r="F13">
        <v>295.27999999999997</v>
      </c>
      <c r="G13">
        <v>14.07</v>
      </c>
      <c r="H13">
        <v>35.43</v>
      </c>
      <c r="I13">
        <v>8.34</v>
      </c>
      <c r="J13">
        <v>9.5500000000000007</v>
      </c>
      <c r="K13">
        <v>73.33</v>
      </c>
      <c r="L13">
        <v>0</v>
      </c>
      <c r="M13">
        <v>45.77</v>
      </c>
      <c r="N13">
        <v>74.849999999999994</v>
      </c>
    </row>
    <row r="14" spans="1:14" x14ac:dyDescent="0.25">
      <c r="A14" t="s">
        <v>200</v>
      </c>
      <c r="B14" t="s">
        <v>35</v>
      </c>
      <c r="C14">
        <v>126.68</v>
      </c>
      <c r="D14">
        <v>219.58</v>
      </c>
      <c r="E14">
        <v>187.9</v>
      </c>
      <c r="F14">
        <v>295.27999999999997</v>
      </c>
      <c r="G14">
        <v>14.07</v>
      </c>
      <c r="H14">
        <v>35.43</v>
      </c>
      <c r="I14">
        <v>8.34</v>
      </c>
      <c r="J14">
        <v>9.5500000000000007</v>
      </c>
      <c r="K14">
        <v>73.33</v>
      </c>
      <c r="L14">
        <v>0</v>
      </c>
      <c r="M14">
        <v>45.77</v>
      </c>
      <c r="N14">
        <v>74.849999999999994</v>
      </c>
    </row>
    <row r="15" spans="1:14" x14ac:dyDescent="0.25">
      <c r="A15" t="s">
        <v>75</v>
      </c>
      <c r="B15" t="s">
        <v>35</v>
      </c>
      <c r="C15">
        <v>126.68</v>
      </c>
      <c r="D15">
        <v>219.58</v>
      </c>
      <c r="E15">
        <v>187.9</v>
      </c>
      <c r="F15">
        <v>295.27999999999997</v>
      </c>
      <c r="G15">
        <v>14.07</v>
      </c>
      <c r="H15">
        <v>35.43</v>
      </c>
      <c r="I15">
        <v>8.34</v>
      </c>
      <c r="J15">
        <v>9.5500000000000007</v>
      </c>
      <c r="K15">
        <v>73.33</v>
      </c>
      <c r="L15">
        <v>0</v>
      </c>
      <c r="M15">
        <v>0</v>
      </c>
    </row>
    <row r="16" spans="1:14" x14ac:dyDescent="0.25">
      <c r="A16" t="s">
        <v>212</v>
      </c>
      <c r="B16" t="s">
        <v>35</v>
      </c>
      <c r="C16">
        <v>105.89</v>
      </c>
      <c r="D16">
        <v>182.35</v>
      </c>
      <c r="E16">
        <v>154.63999999999999</v>
      </c>
      <c r="F16">
        <v>244.84</v>
      </c>
      <c r="G16">
        <v>6.31</v>
      </c>
      <c r="H16">
        <v>35.43</v>
      </c>
      <c r="I16">
        <v>8.34</v>
      </c>
      <c r="J16">
        <v>9.5500000000000007</v>
      </c>
      <c r="K16">
        <v>73.33</v>
      </c>
      <c r="L16">
        <v>0</v>
      </c>
      <c r="M16">
        <v>0</v>
      </c>
      <c r="N16">
        <v>74.849999999999994</v>
      </c>
    </row>
    <row r="17" spans="1:14" x14ac:dyDescent="0.25">
      <c r="A17" t="s">
        <v>211</v>
      </c>
      <c r="B17" t="s">
        <v>35</v>
      </c>
      <c r="C17">
        <v>117.97</v>
      </c>
      <c r="D17">
        <v>203.97</v>
      </c>
      <c r="E17">
        <v>173.96</v>
      </c>
      <c r="F17">
        <v>274.13</v>
      </c>
      <c r="G17">
        <v>6.31</v>
      </c>
      <c r="H17">
        <v>35.43</v>
      </c>
      <c r="I17">
        <v>8.34</v>
      </c>
      <c r="J17">
        <v>9.5500000000000007</v>
      </c>
      <c r="K17">
        <v>73.33</v>
      </c>
      <c r="L17">
        <v>0</v>
      </c>
      <c r="M17">
        <v>0</v>
      </c>
      <c r="N17">
        <v>74.849999999999994</v>
      </c>
    </row>
    <row r="18" spans="1:14" x14ac:dyDescent="0.25">
      <c r="A18" t="s">
        <v>213</v>
      </c>
      <c r="B18" t="s">
        <v>35</v>
      </c>
      <c r="C18">
        <v>119.99</v>
      </c>
      <c r="D18">
        <v>207.59</v>
      </c>
      <c r="E18">
        <v>177.19</v>
      </c>
      <c r="F18">
        <v>279.02999999999997</v>
      </c>
      <c r="G18">
        <v>6.31</v>
      </c>
      <c r="H18">
        <v>35.43</v>
      </c>
      <c r="I18">
        <v>8.34</v>
      </c>
      <c r="J18">
        <v>9.5500000000000007</v>
      </c>
      <c r="K18">
        <v>73.33</v>
      </c>
      <c r="L18">
        <v>0</v>
      </c>
      <c r="M18">
        <v>0</v>
      </c>
      <c r="N18">
        <v>74.849999999999994</v>
      </c>
    </row>
    <row r="19" spans="1:14" x14ac:dyDescent="0.25">
      <c r="A19" t="s">
        <v>214</v>
      </c>
      <c r="B19" t="s">
        <v>35</v>
      </c>
      <c r="C19">
        <v>122.67</v>
      </c>
      <c r="D19">
        <v>212.38</v>
      </c>
      <c r="E19">
        <v>181.48</v>
      </c>
      <c r="F19">
        <v>285.52999999999997</v>
      </c>
      <c r="G19">
        <v>6.31</v>
      </c>
      <c r="H19">
        <v>35.43</v>
      </c>
      <c r="I19">
        <v>8.34</v>
      </c>
      <c r="J19">
        <v>9.5500000000000007</v>
      </c>
      <c r="K19">
        <v>73.33</v>
      </c>
      <c r="L19">
        <v>0</v>
      </c>
      <c r="M19">
        <v>0</v>
      </c>
      <c r="N19">
        <v>74.849999999999994</v>
      </c>
    </row>
    <row r="20" spans="1:14" x14ac:dyDescent="0.25">
      <c r="A20" t="s">
        <v>215</v>
      </c>
      <c r="B20" t="s">
        <v>35</v>
      </c>
      <c r="C20">
        <v>126.68</v>
      </c>
      <c r="D20">
        <v>219.58</v>
      </c>
      <c r="E20">
        <v>187.9</v>
      </c>
      <c r="F20">
        <v>295.27999999999997</v>
      </c>
      <c r="G20">
        <v>6.31</v>
      </c>
      <c r="H20">
        <v>35.43</v>
      </c>
      <c r="I20">
        <v>8.34</v>
      </c>
      <c r="J20">
        <v>9.5500000000000007</v>
      </c>
      <c r="K20">
        <v>73.33</v>
      </c>
      <c r="L20">
        <v>0</v>
      </c>
      <c r="M20">
        <v>0</v>
      </c>
      <c r="N20">
        <v>74.849999999999994</v>
      </c>
    </row>
    <row r="21" spans="1:14" x14ac:dyDescent="0.25">
      <c r="A21" t="s">
        <v>216</v>
      </c>
      <c r="B21" t="s">
        <v>35</v>
      </c>
      <c r="C21">
        <v>129.55000000000001</v>
      </c>
      <c r="D21">
        <v>224.36</v>
      </c>
      <c r="E21">
        <v>189.61</v>
      </c>
      <c r="F21">
        <v>319.16000000000003</v>
      </c>
      <c r="G21">
        <v>5.78</v>
      </c>
      <c r="H21">
        <v>40.409999999999997</v>
      </c>
      <c r="I21">
        <v>8.15</v>
      </c>
      <c r="J21">
        <v>9.33</v>
      </c>
      <c r="K21">
        <v>73.790000000000006</v>
      </c>
      <c r="L21">
        <v>0</v>
      </c>
      <c r="M21">
        <v>48.77</v>
      </c>
      <c r="N21">
        <v>80.67</v>
      </c>
    </row>
    <row r="22" spans="1:14" x14ac:dyDescent="0.25">
      <c r="A22" t="s">
        <v>33</v>
      </c>
      <c r="B22" t="s">
        <v>35</v>
      </c>
      <c r="C22">
        <v>88.45</v>
      </c>
      <c r="D22">
        <v>156.63999999999999</v>
      </c>
      <c r="E22">
        <v>123.94</v>
      </c>
      <c r="F22">
        <v>181.87</v>
      </c>
      <c r="G22">
        <v>9.5500000000000007</v>
      </c>
      <c r="H22">
        <v>38.76</v>
      </c>
      <c r="I22">
        <v>7.18</v>
      </c>
      <c r="J22">
        <v>8.2200000000000006</v>
      </c>
      <c r="K22">
        <v>64.290000000000006</v>
      </c>
      <c r="L22">
        <v>2.64</v>
      </c>
      <c r="M22">
        <v>0</v>
      </c>
    </row>
    <row r="23" spans="1:14" x14ac:dyDescent="0.25">
      <c r="A23" t="s">
        <v>34</v>
      </c>
      <c r="B23" t="s">
        <v>35</v>
      </c>
      <c r="C23">
        <v>98.81</v>
      </c>
      <c r="D23">
        <v>175.53</v>
      </c>
      <c r="E23">
        <v>139.44</v>
      </c>
      <c r="F23">
        <v>203.91</v>
      </c>
      <c r="G23">
        <v>9.5500000000000007</v>
      </c>
      <c r="H23">
        <v>38.76</v>
      </c>
      <c r="I23">
        <v>7.18</v>
      </c>
      <c r="J23">
        <v>8.2200000000000006</v>
      </c>
      <c r="K23">
        <v>64.290000000000006</v>
      </c>
      <c r="L23">
        <v>2.64</v>
      </c>
      <c r="M23">
        <v>0</v>
      </c>
    </row>
    <row r="24" spans="1:14" x14ac:dyDescent="0.25">
      <c r="A24" t="s">
        <v>94</v>
      </c>
      <c r="B24" t="s">
        <v>35</v>
      </c>
      <c r="C24">
        <v>107.65</v>
      </c>
      <c r="D24">
        <v>206.1</v>
      </c>
      <c r="E24">
        <v>178.93</v>
      </c>
      <c r="F24">
        <v>260.08999999999997</v>
      </c>
      <c r="G24">
        <v>9.81</v>
      </c>
      <c r="H24">
        <v>38.76</v>
      </c>
      <c r="I24">
        <v>7.67</v>
      </c>
      <c r="J24">
        <v>8.7899999999999991</v>
      </c>
      <c r="K24">
        <v>68.58</v>
      </c>
      <c r="L24">
        <v>2.79</v>
      </c>
      <c r="M24">
        <v>0</v>
      </c>
    </row>
    <row r="25" spans="1:14" x14ac:dyDescent="0.25">
      <c r="A25" t="s">
        <v>95</v>
      </c>
      <c r="B25" t="s">
        <v>35</v>
      </c>
      <c r="C25">
        <v>113.29</v>
      </c>
      <c r="D25">
        <v>217.17</v>
      </c>
      <c r="E25">
        <v>188.81</v>
      </c>
      <c r="F25">
        <v>274.14</v>
      </c>
      <c r="G25">
        <v>9.81</v>
      </c>
      <c r="H25">
        <v>38.76</v>
      </c>
      <c r="I25">
        <v>7.67</v>
      </c>
      <c r="J25">
        <v>8.7899999999999991</v>
      </c>
      <c r="K25">
        <v>68.58</v>
      </c>
      <c r="L25">
        <v>2.79</v>
      </c>
      <c r="M25">
        <v>0</v>
      </c>
    </row>
    <row r="26" spans="1:14" x14ac:dyDescent="0.25">
      <c r="A26" t="s">
        <v>93</v>
      </c>
      <c r="B26" t="s">
        <v>35</v>
      </c>
      <c r="C26">
        <v>123.63</v>
      </c>
      <c r="D26">
        <v>237.48</v>
      </c>
      <c r="E26">
        <v>206.93</v>
      </c>
      <c r="F26">
        <v>299.92</v>
      </c>
      <c r="G26">
        <v>9.81</v>
      </c>
      <c r="H26">
        <v>38.76</v>
      </c>
      <c r="I26">
        <v>7.67</v>
      </c>
      <c r="J26">
        <v>8.7899999999999991</v>
      </c>
      <c r="K26">
        <v>68.58</v>
      </c>
      <c r="L26">
        <v>2.79</v>
      </c>
      <c r="M26">
        <v>0</v>
      </c>
    </row>
    <row r="27" spans="1:14" x14ac:dyDescent="0.25">
      <c r="A27" t="s">
        <v>96</v>
      </c>
      <c r="B27" t="s">
        <v>35</v>
      </c>
      <c r="C27">
        <v>129.15</v>
      </c>
      <c r="D27">
        <v>248.33</v>
      </c>
      <c r="E27">
        <v>216.61</v>
      </c>
      <c r="F27">
        <v>313.7</v>
      </c>
      <c r="G27">
        <v>9.81</v>
      </c>
      <c r="H27">
        <v>38.76</v>
      </c>
      <c r="I27">
        <v>7.67</v>
      </c>
      <c r="J27">
        <v>8.7899999999999991</v>
      </c>
      <c r="K27">
        <v>68.58</v>
      </c>
      <c r="L27">
        <v>2.79</v>
      </c>
      <c r="M27">
        <v>0</v>
      </c>
    </row>
    <row r="28" spans="1:14" x14ac:dyDescent="0.25">
      <c r="A28" t="s">
        <v>97</v>
      </c>
      <c r="B28" t="s">
        <v>35</v>
      </c>
      <c r="C28">
        <v>134.68</v>
      </c>
      <c r="D28">
        <v>259.18</v>
      </c>
      <c r="E28">
        <v>226.3</v>
      </c>
      <c r="F28">
        <v>327.47000000000003</v>
      </c>
      <c r="G28">
        <v>9.81</v>
      </c>
      <c r="H28">
        <v>38.76</v>
      </c>
      <c r="I28">
        <v>7.67</v>
      </c>
      <c r="J28">
        <v>8.7899999999999991</v>
      </c>
      <c r="K28">
        <v>68.58</v>
      </c>
      <c r="L28">
        <v>2.79</v>
      </c>
      <c r="M28">
        <v>0</v>
      </c>
    </row>
    <row r="29" spans="1:14" x14ac:dyDescent="0.25">
      <c r="A29" t="s">
        <v>98</v>
      </c>
      <c r="B29" t="s">
        <v>35</v>
      </c>
      <c r="C29">
        <v>140.19999999999999</v>
      </c>
      <c r="D29">
        <v>270.02999999999997</v>
      </c>
      <c r="E29">
        <v>235.98</v>
      </c>
      <c r="F29">
        <v>341.24</v>
      </c>
      <c r="G29">
        <v>9.81</v>
      </c>
      <c r="H29">
        <v>38.76</v>
      </c>
      <c r="I29">
        <v>7.67</v>
      </c>
      <c r="J29">
        <v>8.7899999999999991</v>
      </c>
      <c r="K29">
        <v>68.58</v>
      </c>
      <c r="L29">
        <v>2.79</v>
      </c>
      <c r="M29">
        <v>0</v>
      </c>
    </row>
    <row r="30" spans="1:14" x14ac:dyDescent="0.25">
      <c r="A30" t="s">
        <v>99</v>
      </c>
      <c r="B30" t="s">
        <v>35</v>
      </c>
      <c r="C30">
        <v>145.72</v>
      </c>
      <c r="D30">
        <v>280.88</v>
      </c>
      <c r="E30">
        <v>245.66</v>
      </c>
      <c r="F30">
        <v>355.02</v>
      </c>
      <c r="G30">
        <v>9.81</v>
      </c>
      <c r="H30">
        <v>38.76</v>
      </c>
      <c r="I30">
        <v>7.67</v>
      </c>
      <c r="J30">
        <v>8.7899999999999991</v>
      </c>
      <c r="K30">
        <v>68.58</v>
      </c>
      <c r="L30">
        <v>2.79</v>
      </c>
      <c r="M30">
        <v>0</v>
      </c>
    </row>
    <row r="31" spans="1:14" x14ac:dyDescent="0.25">
      <c r="A31" t="s">
        <v>91</v>
      </c>
      <c r="B31" t="s">
        <v>35</v>
      </c>
      <c r="C31">
        <v>101.29</v>
      </c>
      <c r="D31">
        <v>180.04</v>
      </c>
      <c r="E31">
        <v>143.13999999999999</v>
      </c>
      <c r="F31">
        <v>209.18</v>
      </c>
      <c r="G31">
        <v>9.81</v>
      </c>
      <c r="H31">
        <v>38.76</v>
      </c>
      <c r="I31">
        <v>7.67</v>
      </c>
      <c r="J31">
        <v>8.7899999999999991</v>
      </c>
      <c r="K31">
        <v>68.58</v>
      </c>
      <c r="L31">
        <v>2.79</v>
      </c>
      <c r="M31">
        <v>0</v>
      </c>
    </row>
  </sheetData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E1776-944C-429E-AAFA-0B5C29D8C0DC}">
  <sheetPr codeName="Sheet2">
    <tabColor theme="9"/>
  </sheetPr>
  <dimension ref="A1:E59"/>
  <sheetViews>
    <sheetView workbookViewId="0">
      <selection sqref="A1:E59"/>
    </sheetView>
  </sheetViews>
  <sheetFormatPr defaultRowHeight="15" x14ac:dyDescent="0.25"/>
  <cols>
    <col min="1" max="1" width="24.28515625" bestFit="1" customWidth="1"/>
    <col min="2" max="2" width="20.140625" bestFit="1" customWidth="1"/>
    <col min="3" max="3" width="12.85546875" bestFit="1" customWidth="1"/>
    <col min="4" max="4" width="12.42578125" bestFit="1" customWidth="1"/>
    <col min="5" max="5" width="21.7109375" bestFit="1" customWidth="1"/>
    <col min="6" max="6" width="11.85546875" bestFit="1" customWidth="1"/>
    <col min="7" max="7" width="21.7109375" bestFit="1" customWidth="1"/>
    <col min="8" max="8" width="21.42578125" bestFit="1" customWidth="1"/>
    <col min="9" max="9" width="35.140625" bestFit="1" customWidth="1"/>
  </cols>
  <sheetData>
    <row r="1" spans="1:5" x14ac:dyDescent="0.25">
      <c r="A1" t="s">
        <v>2</v>
      </c>
      <c r="B1" t="s">
        <v>0</v>
      </c>
      <c r="C1" t="s">
        <v>250</v>
      </c>
      <c r="D1" t="s">
        <v>248</v>
      </c>
      <c r="E1" t="s">
        <v>1</v>
      </c>
    </row>
    <row r="2" spans="1:5" x14ac:dyDescent="0.25">
      <c r="A2" t="s">
        <v>112</v>
      </c>
      <c r="B2">
        <v>114</v>
      </c>
      <c r="C2" t="s">
        <v>81</v>
      </c>
      <c r="D2" t="s">
        <v>85</v>
      </c>
      <c r="E2" t="s">
        <v>75</v>
      </c>
    </row>
    <row r="3" spans="1:5" x14ac:dyDescent="0.25">
      <c r="A3" t="s">
        <v>112</v>
      </c>
      <c r="B3">
        <v>115</v>
      </c>
      <c r="C3" t="s">
        <v>162</v>
      </c>
      <c r="D3" t="s">
        <v>293</v>
      </c>
      <c r="E3" t="s">
        <v>28</v>
      </c>
    </row>
    <row r="4" spans="1:5" x14ac:dyDescent="0.25">
      <c r="A4" t="s">
        <v>112</v>
      </c>
      <c r="B4">
        <v>117</v>
      </c>
      <c r="C4" t="s">
        <v>83</v>
      </c>
      <c r="D4" t="s">
        <v>84</v>
      </c>
      <c r="E4" t="s">
        <v>28</v>
      </c>
    </row>
    <row r="5" spans="1:5" x14ac:dyDescent="0.25">
      <c r="A5" t="s">
        <v>112</v>
      </c>
      <c r="B5">
        <v>122</v>
      </c>
      <c r="C5" t="s">
        <v>3</v>
      </c>
      <c r="D5" t="s">
        <v>4</v>
      </c>
      <c r="E5" t="s">
        <v>28</v>
      </c>
    </row>
    <row r="6" spans="1:5" x14ac:dyDescent="0.25">
      <c r="A6" t="s">
        <v>112</v>
      </c>
      <c r="B6">
        <v>130</v>
      </c>
      <c r="C6" t="s">
        <v>143</v>
      </c>
      <c r="D6" t="s">
        <v>162</v>
      </c>
      <c r="E6" t="s">
        <v>28</v>
      </c>
    </row>
    <row r="7" spans="1:5" x14ac:dyDescent="0.25">
      <c r="A7" t="s">
        <v>112</v>
      </c>
      <c r="B7">
        <v>132</v>
      </c>
      <c r="C7" t="s">
        <v>103</v>
      </c>
      <c r="D7" t="s">
        <v>104</v>
      </c>
      <c r="E7" t="s">
        <v>28</v>
      </c>
    </row>
    <row r="8" spans="1:5" x14ac:dyDescent="0.25">
      <c r="A8" t="s">
        <v>112</v>
      </c>
      <c r="B8">
        <v>133</v>
      </c>
      <c r="C8" t="s">
        <v>141</v>
      </c>
      <c r="D8" t="s">
        <v>142</v>
      </c>
      <c r="E8" t="s">
        <v>28</v>
      </c>
    </row>
    <row r="9" spans="1:5" x14ac:dyDescent="0.25">
      <c r="A9" t="s">
        <v>112</v>
      </c>
      <c r="B9">
        <v>134</v>
      </c>
      <c r="C9" t="s">
        <v>3</v>
      </c>
      <c r="D9" t="s">
        <v>6</v>
      </c>
      <c r="E9" t="s">
        <v>75</v>
      </c>
    </row>
    <row r="10" spans="1:5" x14ac:dyDescent="0.25">
      <c r="A10" t="s">
        <v>112</v>
      </c>
      <c r="B10">
        <v>161</v>
      </c>
      <c r="C10" t="s">
        <v>7</v>
      </c>
      <c r="D10" t="s">
        <v>8</v>
      </c>
      <c r="E10" t="s">
        <v>75</v>
      </c>
    </row>
    <row r="11" spans="1:5" x14ac:dyDescent="0.25">
      <c r="A11" t="s">
        <v>112</v>
      </c>
      <c r="B11">
        <v>168</v>
      </c>
      <c r="C11" t="s">
        <v>5</v>
      </c>
      <c r="D11" t="s">
        <v>9</v>
      </c>
      <c r="E11" t="s">
        <v>91</v>
      </c>
    </row>
    <row r="12" spans="1:5" x14ac:dyDescent="0.25">
      <c r="A12" t="s">
        <v>112</v>
      </c>
      <c r="B12">
        <v>246</v>
      </c>
      <c r="C12" t="s">
        <v>281</v>
      </c>
      <c r="D12" t="s">
        <v>282</v>
      </c>
      <c r="E12" t="s">
        <v>215</v>
      </c>
    </row>
    <row r="13" spans="1:5" x14ac:dyDescent="0.25">
      <c r="A13" t="s">
        <v>112</v>
      </c>
      <c r="B13">
        <v>255</v>
      </c>
      <c r="C13" t="s">
        <v>3</v>
      </c>
      <c r="D13" t="s">
        <v>189</v>
      </c>
      <c r="E13" t="s">
        <v>75</v>
      </c>
    </row>
    <row r="14" spans="1:5" x14ac:dyDescent="0.25">
      <c r="A14" t="s">
        <v>112</v>
      </c>
      <c r="B14">
        <v>319</v>
      </c>
      <c r="C14" t="s">
        <v>107</v>
      </c>
      <c r="D14" t="s">
        <v>108</v>
      </c>
      <c r="E14" t="s">
        <v>75</v>
      </c>
    </row>
    <row r="15" spans="1:5" x14ac:dyDescent="0.25">
      <c r="A15" t="s">
        <v>112</v>
      </c>
      <c r="B15">
        <v>611</v>
      </c>
      <c r="C15" t="s">
        <v>3</v>
      </c>
      <c r="D15" t="s">
        <v>193</v>
      </c>
      <c r="E15" t="s">
        <v>75</v>
      </c>
    </row>
    <row r="16" spans="1:5" x14ac:dyDescent="0.25">
      <c r="A16" t="s">
        <v>112</v>
      </c>
      <c r="B16">
        <v>628</v>
      </c>
      <c r="C16" t="s">
        <v>363</v>
      </c>
      <c r="D16" t="s">
        <v>364</v>
      </c>
      <c r="E16" t="s">
        <v>365</v>
      </c>
    </row>
    <row r="17" spans="1:5" x14ac:dyDescent="0.25">
      <c r="A17" t="s">
        <v>112</v>
      </c>
      <c r="B17">
        <v>631</v>
      </c>
      <c r="C17" t="s">
        <v>181</v>
      </c>
      <c r="D17" t="s">
        <v>182</v>
      </c>
      <c r="E17" t="s">
        <v>28</v>
      </c>
    </row>
    <row r="18" spans="1:5" x14ac:dyDescent="0.25">
      <c r="A18" t="s">
        <v>112</v>
      </c>
      <c r="B18">
        <v>660</v>
      </c>
      <c r="C18" t="s">
        <v>5</v>
      </c>
      <c r="D18" t="s">
        <v>183</v>
      </c>
      <c r="E18" t="s">
        <v>28</v>
      </c>
    </row>
    <row r="19" spans="1:5" x14ac:dyDescent="0.25">
      <c r="A19" t="s">
        <v>112</v>
      </c>
      <c r="B19">
        <v>665</v>
      </c>
      <c r="C19" t="s">
        <v>3</v>
      </c>
      <c r="D19" t="s">
        <v>217</v>
      </c>
      <c r="E19" t="s">
        <v>215</v>
      </c>
    </row>
    <row r="20" spans="1:5" x14ac:dyDescent="0.25">
      <c r="A20" t="s">
        <v>112</v>
      </c>
      <c r="B20">
        <v>667</v>
      </c>
      <c r="C20" t="s">
        <v>160</v>
      </c>
      <c r="D20" t="s">
        <v>348</v>
      </c>
      <c r="E20" t="s">
        <v>28</v>
      </c>
    </row>
    <row r="21" spans="1:5" x14ac:dyDescent="0.25">
      <c r="A21" t="s">
        <v>112</v>
      </c>
      <c r="B21">
        <v>677</v>
      </c>
      <c r="C21" t="s">
        <v>81</v>
      </c>
      <c r="D21" t="s">
        <v>82</v>
      </c>
      <c r="E21" t="s">
        <v>75</v>
      </c>
    </row>
    <row r="22" spans="1:5" x14ac:dyDescent="0.25">
      <c r="A22" t="s">
        <v>112</v>
      </c>
      <c r="B22">
        <v>694</v>
      </c>
      <c r="C22" t="s">
        <v>199</v>
      </c>
      <c r="D22" t="s">
        <v>361</v>
      </c>
      <c r="E22" t="s">
        <v>75</v>
      </c>
    </row>
    <row r="23" spans="1:5" x14ac:dyDescent="0.25">
      <c r="A23" t="s">
        <v>112</v>
      </c>
      <c r="B23">
        <v>734</v>
      </c>
      <c r="C23" t="s">
        <v>86</v>
      </c>
      <c r="D23" t="s">
        <v>113</v>
      </c>
      <c r="E23" t="s">
        <v>28</v>
      </c>
    </row>
    <row r="24" spans="1:5" x14ac:dyDescent="0.25">
      <c r="A24" t="s">
        <v>112</v>
      </c>
      <c r="B24">
        <v>736</v>
      </c>
      <c r="C24" t="s">
        <v>77</v>
      </c>
      <c r="D24" t="s">
        <v>78</v>
      </c>
      <c r="E24" t="s">
        <v>28</v>
      </c>
    </row>
    <row r="25" spans="1:5" x14ac:dyDescent="0.25">
      <c r="A25" t="s">
        <v>112</v>
      </c>
      <c r="B25">
        <v>746</v>
      </c>
      <c r="C25" t="s">
        <v>86</v>
      </c>
      <c r="D25" t="s">
        <v>87</v>
      </c>
      <c r="E25" t="s">
        <v>29</v>
      </c>
    </row>
    <row r="26" spans="1:5" x14ac:dyDescent="0.25">
      <c r="A26" t="s">
        <v>112</v>
      </c>
      <c r="B26">
        <v>772</v>
      </c>
      <c r="C26" t="s">
        <v>173</v>
      </c>
      <c r="D26" t="s">
        <v>174</v>
      </c>
      <c r="E26" t="s">
        <v>28</v>
      </c>
    </row>
    <row r="27" spans="1:5" x14ac:dyDescent="0.25">
      <c r="A27" t="s">
        <v>112</v>
      </c>
      <c r="B27">
        <v>773</v>
      </c>
      <c r="C27" t="s">
        <v>143</v>
      </c>
      <c r="D27" t="s">
        <v>144</v>
      </c>
      <c r="E27" t="s">
        <v>28</v>
      </c>
    </row>
    <row r="28" spans="1:5" x14ac:dyDescent="0.25">
      <c r="A28" t="s">
        <v>112</v>
      </c>
      <c r="B28">
        <v>774</v>
      </c>
      <c r="C28" t="s">
        <v>145</v>
      </c>
      <c r="D28" t="s">
        <v>146</v>
      </c>
      <c r="E28" t="s">
        <v>215</v>
      </c>
    </row>
    <row r="29" spans="1:5" x14ac:dyDescent="0.25">
      <c r="A29" t="s">
        <v>112</v>
      </c>
      <c r="B29">
        <v>775</v>
      </c>
      <c r="C29" t="s">
        <v>147</v>
      </c>
      <c r="D29" t="s">
        <v>148</v>
      </c>
      <c r="E29" t="s">
        <v>28</v>
      </c>
    </row>
    <row r="30" spans="1:5" x14ac:dyDescent="0.25">
      <c r="A30" t="s">
        <v>112</v>
      </c>
      <c r="B30">
        <v>776</v>
      </c>
      <c r="C30" t="s">
        <v>149</v>
      </c>
      <c r="D30" t="s">
        <v>150</v>
      </c>
      <c r="E30" t="s">
        <v>28</v>
      </c>
    </row>
    <row r="31" spans="1:5" x14ac:dyDescent="0.25">
      <c r="A31" t="s">
        <v>112</v>
      </c>
      <c r="B31">
        <v>777</v>
      </c>
      <c r="C31" t="s">
        <v>122</v>
      </c>
      <c r="D31" t="s">
        <v>123</v>
      </c>
      <c r="E31" t="s">
        <v>28</v>
      </c>
    </row>
    <row r="32" spans="1:5" x14ac:dyDescent="0.25">
      <c r="A32" t="s">
        <v>112</v>
      </c>
      <c r="B32">
        <v>778</v>
      </c>
      <c r="C32" t="s">
        <v>5</v>
      </c>
      <c r="D32" t="s">
        <v>151</v>
      </c>
      <c r="E32" t="s">
        <v>28</v>
      </c>
    </row>
    <row r="33" spans="1:5" x14ac:dyDescent="0.25">
      <c r="A33" t="s">
        <v>112</v>
      </c>
      <c r="B33">
        <v>782</v>
      </c>
      <c r="C33" t="s">
        <v>152</v>
      </c>
      <c r="D33" t="s">
        <v>153</v>
      </c>
      <c r="E33" t="s">
        <v>28</v>
      </c>
    </row>
    <row r="34" spans="1:5" x14ac:dyDescent="0.25">
      <c r="A34" t="s">
        <v>112</v>
      </c>
      <c r="B34">
        <v>785</v>
      </c>
      <c r="C34" t="s">
        <v>101</v>
      </c>
      <c r="D34" t="s">
        <v>102</v>
      </c>
      <c r="E34" t="s">
        <v>28</v>
      </c>
    </row>
    <row r="35" spans="1:5" x14ac:dyDescent="0.25">
      <c r="A35" t="s">
        <v>112</v>
      </c>
      <c r="B35">
        <v>788</v>
      </c>
      <c r="C35" t="s">
        <v>105</v>
      </c>
      <c r="D35" t="s">
        <v>106</v>
      </c>
      <c r="E35" t="s">
        <v>28</v>
      </c>
    </row>
    <row r="36" spans="1:5" x14ac:dyDescent="0.25">
      <c r="A36" t="s">
        <v>112</v>
      </c>
      <c r="B36">
        <v>790</v>
      </c>
      <c r="C36" t="s">
        <v>110</v>
      </c>
      <c r="D36" t="s">
        <v>111</v>
      </c>
      <c r="E36" t="s">
        <v>75</v>
      </c>
    </row>
    <row r="37" spans="1:5" x14ac:dyDescent="0.25">
      <c r="A37" t="s">
        <v>112</v>
      </c>
      <c r="B37">
        <v>792</v>
      </c>
      <c r="C37" t="s">
        <v>114</v>
      </c>
      <c r="D37" t="s">
        <v>115</v>
      </c>
      <c r="E37" t="s">
        <v>28</v>
      </c>
    </row>
    <row r="38" spans="1:5" x14ac:dyDescent="0.25">
      <c r="A38" t="s">
        <v>112</v>
      </c>
      <c r="B38">
        <v>793</v>
      </c>
      <c r="C38" t="s">
        <v>109</v>
      </c>
      <c r="D38" t="s">
        <v>116</v>
      </c>
      <c r="E38" t="s">
        <v>28</v>
      </c>
    </row>
    <row r="39" spans="1:5" x14ac:dyDescent="0.25">
      <c r="A39" t="s">
        <v>112</v>
      </c>
      <c r="B39">
        <v>794</v>
      </c>
      <c r="C39" t="s">
        <v>324</v>
      </c>
      <c r="D39" t="s">
        <v>325</v>
      </c>
      <c r="E39" t="s">
        <v>28</v>
      </c>
    </row>
    <row r="40" spans="1:5" x14ac:dyDescent="0.25">
      <c r="A40" t="s">
        <v>112</v>
      </c>
      <c r="B40">
        <v>797</v>
      </c>
      <c r="C40" t="s">
        <v>141</v>
      </c>
      <c r="D40" t="s">
        <v>154</v>
      </c>
      <c r="E40" t="s">
        <v>26</v>
      </c>
    </row>
    <row r="41" spans="1:5" x14ac:dyDescent="0.25">
      <c r="A41" t="s">
        <v>112</v>
      </c>
      <c r="B41">
        <v>798</v>
      </c>
      <c r="C41" t="s">
        <v>155</v>
      </c>
      <c r="D41" t="s">
        <v>156</v>
      </c>
      <c r="E41" t="s">
        <v>28</v>
      </c>
    </row>
    <row r="42" spans="1:5" x14ac:dyDescent="0.25">
      <c r="A42" t="s">
        <v>112</v>
      </c>
      <c r="B42">
        <v>799</v>
      </c>
      <c r="C42" t="s">
        <v>5</v>
      </c>
      <c r="D42" t="s">
        <v>157</v>
      </c>
      <c r="E42" t="s">
        <v>28</v>
      </c>
    </row>
    <row r="43" spans="1:5" x14ac:dyDescent="0.25">
      <c r="A43" t="s">
        <v>112</v>
      </c>
      <c r="B43">
        <v>800</v>
      </c>
      <c r="C43" t="s">
        <v>158</v>
      </c>
      <c r="D43" t="s">
        <v>159</v>
      </c>
      <c r="E43" t="s">
        <v>28</v>
      </c>
    </row>
    <row r="44" spans="1:5" x14ac:dyDescent="0.25">
      <c r="A44" t="s">
        <v>112</v>
      </c>
      <c r="B44">
        <v>801</v>
      </c>
      <c r="C44" t="s">
        <v>160</v>
      </c>
      <c r="D44" t="s">
        <v>161</v>
      </c>
      <c r="E44" t="s">
        <v>28</v>
      </c>
    </row>
    <row r="45" spans="1:5" x14ac:dyDescent="0.25">
      <c r="A45" t="s">
        <v>112</v>
      </c>
      <c r="B45">
        <v>836</v>
      </c>
      <c r="C45" t="s">
        <v>177</v>
      </c>
      <c r="D45" t="s">
        <v>178</v>
      </c>
      <c r="E45" t="s">
        <v>29</v>
      </c>
    </row>
    <row r="46" spans="1:5" x14ac:dyDescent="0.25">
      <c r="A46" t="s">
        <v>112</v>
      </c>
      <c r="B46">
        <v>838</v>
      </c>
      <c r="C46" t="s">
        <v>179</v>
      </c>
      <c r="D46" t="s">
        <v>180</v>
      </c>
      <c r="E46" t="s">
        <v>28</v>
      </c>
    </row>
    <row r="47" spans="1:5" x14ac:dyDescent="0.25">
      <c r="A47" t="s">
        <v>112</v>
      </c>
      <c r="B47">
        <v>890</v>
      </c>
      <c r="C47" t="s">
        <v>184</v>
      </c>
      <c r="D47" t="s">
        <v>185</v>
      </c>
      <c r="E47" t="s">
        <v>28</v>
      </c>
    </row>
    <row r="48" spans="1:5" x14ac:dyDescent="0.25">
      <c r="A48" t="s">
        <v>112</v>
      </c>
      <c r="B48">
        <v>894</v>
      </c>
      <c r="C48" t="s">
        <v>357</v>
      </c>
      <c r="D48" t="s">
        <v>358</v>
      </c>
      <c r="E48" t="s">
        <v>28</v>
      </c>
    </row>
    <row r="49" spans="1:5" x14ac:dyDescent="0.25">
      <c r="A49" t="s">
        <v>112</v>
      </c>
      <c r="B49">
        <v>896</v>
      </c>
      <c r="C49" t="s">
        <v>5</v>
      </c>
      <c r="D49" t="s">
        <v>190</v>
      </c>
      <c r="E49" t="s">
        <v>26</v>
      </c>
    </row>
    <row r="50" spans="1:5" x14ac:dyDescent="0.25">
      <c r="A50" t="s">
        <v>112</v>
      </c>
      <c r="B50">
        <v>897</v>
      </c>
      <c r="C50" t="s">
        <v>5</v>
      </c>
      <c r="D50" t="s">
        <v>186</v>
      </c>
      <c r="E50" t="s">
        <v>26</v>
      </c>
    </row>
    <row r="51" spans="1:5" x14ac:dyDescent="0.25">
      <c r="A51" t="s">
        <v>112</v>
      </c>
      <c r="B51">
        <v>898</v>
      </c>
      <c r="C51" t="s">
        <v>187</v>
      </c>
      <c r="D51" t="s">
        <v>188</v>
      </c>
      <c r="E51" t="s">
        <v>26</v>
      </c>
    </row>
    <row r="52" spans="1:5" x14ac:dyDescent="0.25">
      <c r="A52" t="s">
        <v>112</v>
      </c>
      <c r="B52">
        <v>919</v>
      </c>
      <c r="C52" t="s">
        <v>199</v>
      </c>
      <c r="D52" t="s">
        <v>208</v>
      </c>
      <c r="E52" t="s">
        <v>28</v>
      </c>
    </row>
    <row r="53" spans="1:5" x14ac:dyDescent="0.25">
      <c r="A53" t="s">
        <v>112</v>
      </c>
      <c r="B53">
        <v>924</v>
      </c>
      <c r="C53" t="s">
        <v>201</v>
      </c>
      <c r="D53" t="s">
        <v>202</v>
      </c>
      <c r="E53" t="s">
        <v>27</v>
      </c>
    </row>
    <row r="54" spans="1:5" x14ac:dyDescent="0.25">
      <c r="A54" t="s">
        <v>112</v>
      </c>
      <c r="B54">
        <v>925</v>
      </c>
      <c r="C54" t="s">
        <v>209</v>
      </c>
      <c r="D54" t="s">
        <v>210</v>
      </c>
      <c r="E54" t="s">
        <v>92</v>
      </c>
    </row>
    <row r="55" spans="1:5" x14ac:dyDescent="0.25">
      <c r="A55" t="s">
        <v>112</v>
      </c>
      <c r="B55">
        <v>940</v>
      </c>
      <c r="C55" t="s">
        <v>359</v>
      </c>
      <c r="D55" t="s">
        <v>360</v>
      </c>
      <c r="E55" t="s">
        <v>28</v>
      </c>
    </row>
    <row r="56" spans="1:5" x14ac:dyDescent="0.25">
      <c r="A56" t="s">
        <v>112</v>
      </c>
      <c r="B56">
        <v>945</v>
      </c>
      <c r="C56" t="s">
        <v>218</v>
      </c>
      <c r="D56" t="s">
        <v>219</v>
      </c>
      <c r="E56" t="s">
        <v>215</v>
      </c>
    </row>
    <row r="57" spans="1:5" x14ac:dyDescent="0.25">
      <c r="A57" t="s">
        <v>112</v>
      </c>
      <c r="B57">
        <v>951</v>
      </c>
      <c r="C57" t="s">
        <v>203</v>
      </c>
      <c r="D57" t="s">
        <v>204</v>
      </c>
      <c r="E57" t="s">
        <v>26</v>
      </c>
    </row>
    <row r="58" spans="1:5" x14ac:dyDescent="0.25">
      <c r="A58" t="s">
        <v>112</v>
      </c>
      <c r="B58">
        <v>957</v>
      </c>
      <c r="C58" t="s">
        <v>152</v>
      </c>
      <c r="D58" t="s">
        <v>206</v>
      </c>
      <c r="E58" t="s">
        <v>26</v>
      </c>
    </row>
    <row r="59" spans="1:5" x14ac:dyDescent="0.25">
      <c r="A59" t="s">
        <v>112</v>
      </c>
      <c r="B59">
        <v>958</v>
      </c>
      <c r="C59" t="s">
        <v>141</v>
      </c>
      <c r="D59" t="s">
        <v>207</v>
      </c>
      <c r="E59" t="s">
        <v>26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E36AF-4649-494A-BF38-354E0C5CF046}">
  <sheetPr codeName="Sheet8">
    <tabColor theme="9"/>
  </sheetPr>
  <dimension ref="A1:I2"/>
  <sheetViews>
    <sheetView workbookViewId="0">
      <selection sqref="A1:A2"/>
    </sheetView>
  </sheetViews>
  <sheetFormatPr defaultRowHeight="15" x14ac:dyDescent="0.25"/>
  <cols>
    <col min="1" max="1" width="27.42578125" bestFit="1" customWidth="1"/>
    <col min="2" max="2" width="20.140625" bestFit="1" customWidth="1"/>
    <col min="3" max="3" width="8.5703125" bestFit="1" customWidth="1"/>
    <col min="4" max="4" width="11.140625" bestFit="1" customWidth="1"/>
    <col min="5" max="5" width="14.28515625" bestFit="1" customWidth="1"/>
    <col min="6" max="6" width="7.140625" bestFit="1" customWidth="1"/>
    <col min="7" max="7" width="11.5703125" bestFit="1" customWidth="1"/>
    <col min="8" max="8" width="14.7109375" bestFit="1" customWidth="1"/>
    <col min="9" max="9" width="10.85546875" style="2" bestFit="1" customWidth="1"/>
    <col min="10" max="10" width="13.5703125" bestFit="1" customWidth="1"/>
    <col min="11" max="11" width="20.7109375" bestFit="1" customWidth="1"/>
    <col min="12" max="12" width="21.42578125" bestFit="1" customWidth="1"/>
    <col min="13" max="13" width="19.140625" bestFit="1" customWidth="1"/>
    <col min="14" max="14" width="20" bestFit="1" customWidth="1"/>
    <col min="15" max="15" width="17.7109375" bestFit="1" customWidth="1"/>
    <col min="16" max="16" width="18" bestFit="1" customWidth="1"/>
    <col min="17" max="17" width="15.85546875" bestFit="1" customWidth="1"/>
    <col min="18" max="18" width="17" bestFit="1" customWidth="1"/>
    <col min="19" max="19" width="14.7109375" bestFit="1" customWidth="1"/>
    <col min="20" max="20" width="23" bestFit="1" customWidth="1"/>
    <col min="21" max="21" width="20.85546875" bestFit="1" customWidth="1"/>
    <col min="22" max="23" width="13.140625" bestFit="1" customWidth="1"/>
    <col min="24" max="24" width="20" bestFit="1" customWidth="1"/>
    <col min="25" max="25" width="17.7109375" bestFit="1" customWidth="1"/>
    <col min="26" max="26" width="20.42578125" bestFit="1" customWidth="1"/>
    <col min="27" max="27" width="18.140625" bestFit="1" customWidth="1"/>
    <col min="28" max="28" width="18.85546875" bestFit="1" customWidth="1"/>
    <col min="29" max="29" width="16.7109375" bestFit="1" customWidth="1"/>
    <col min="30" max="30" width="18.28515625" bestFit="1" customWidth="1"/>
    <col min="31" max="31" width="15.140625" bestFit="1" customWidth="1"/>
    <col min="32" max="32" width="40" bestFit="1" customWidth="1"/>
    <col min="33" max="33" width="33.5703125" bestFit="1" customWidth="1"/>
    <col min="34" max="34" width="29.85546875" bestFit="1" customWidth="1"/>
    <col min="35" max="35" width="36.5703125" bestFit="1" customWidth="1"/>
    <col min="36" max="36" width="30.7109375" bestFit="1" customWidth="1"/>
    <col min="37" max="37" width="32.85546875" bestFit="1" customWidth="1"/>
    <col min="38" max="38" width="29.140625" bestFit="1" customWidth="1"/>
    <col min="39" max="39" width="32" bestFit="1" customWidth="1"/>
    <col min="40" max="40" width="27.28515625" bestFit="1" customWidth="1"/>
    <col min="41" max="41" width="32.7109375" bestFit="1" customWidth="1"/>
    <col min="42" max="42" width="28.140625" bestFit="1" customWidth="1"/>
    <col min="43" max="43" width="33.140625" bestFit="1" customWidth="1"/>
    <col min="44" max="44" width="15.42578125" bestFit="1" customWidth="1"/>
    <col min="45" max="45" width="13.140625" bestFit="1" customWidth="1"/>
    <col min="46" max="46" width="16" bestFit="1" customWidth="1"/>
    <col min="47" max="47" width="26.42578125" bestFit="1" customWidth="1"/>
    <col min="48" max="49" width="24.28515625" bestFit="1" customWidth="1"/>
    <col min="50" max="50" width="27.28515625" bestFit="1" customWidth="1"/>
    <col min="51" max="51" width="32.7109375" bestFit="1" customWidth="1"/>
    <col min="52" max="52" width="28.140625" bestFit="1" customWidth="1"/>
    <col min="53" max="53" width="16" bestFit="1" customWidth="1"/>
    <col min="54" max="54" width="26.42578125" bestFit="1" customWidth="1"/>
    <col min="55" max="55" width="24.28515625" bestFit="1" customWidth="1"/>
    <col min="56" max="56" width="15.42578125" bestFit="1" customWidth="1"/>
    <col min="57" max="57" width="8.28515625" bestFit="1" customWidth="1"/>
    <col min="58" max="58" width="17.28515625" bestFit="1" customWidth="1"/>
    <col min="59" max="59" width="16" bestFit="1" customWidth="1"/>
    <col min="60" max="60" width="26.42578125" bestFit="1" customWidth="1"/>
    <col min="61" max="61" width="24.28515625" bestFit="1" customWidth="1"/>
    <col min="62" max="62" width="26.42578125" bestFit="1" customWidth="1"/>
    <col min="63" max="63" width="24.28515625" bestFit="1" customWidth="1"/>
    <col min="64" max="64" width="16" bestFit="1" customWidth="1"/>
    <col min="65" max="65" width="26.42578125" bestFit="1" customWidth="1"/>
    <col min="66" max="66" width="24.28515625" bestFit="1" customWidth="1"/>
    <col min="67" max="67" width="17.28515625" bestFit="1" customWidth="1"/>
    <col min="68" max="68" width="11.140625" bestFit="1" customWidth="1"/>
    <col min="69" max="69" width="16" bestFit="1" customWidth="1"/>
    <col min="70" max="70" width="26.42578125" bestFit="1" customWidth="1"/>
    <col min="71" max="71" width="24.28515625" bestFit="1" customWidth="1"/>
    <col min="72" max="72" width="33.140625" bestFit="1" customWidth="1"/>
    <col min="73" max="73" width="15.42578125" bestFit="1" customWidth="1"/>
    <col min="74" max="74" width="13.140625" customWidth="1"/>
    <col min="75" max="75" width="11.28515625" bestFit="1" customWidth="1"/>
    <col min="76" max="76" width="16" bestFit="1" customWidth="1"/>
    <col min="77" max="77" width="26.42578125" bestFit="1" customWidth="1"/>
    <col min="78" max="78" width="24.28515625" bestFit="1" customWidth="1"/>
    <col min="79" max="79" width="11.28515625" bestFit="1" customWidth="1"/>
    <col min="80" max="80" width="8.28515625" bestFit="1" customWidth="1"/>
    <col min="81" max="81" width="16" bestFit="1" customWidth="1"/>
    <col min="82" max="82" width="26.42578125" bestFit="1" customWidth="1"/>
    <col min="83" max="83" width="24.28515625" bestFit="1" customWidth="1"/>
    <col min="84" max="84" width="26.42578125" bestFit="1" customWidth="1"/>
    <col min="85" max="85" width="24.28515625" bestFit="1" customWidth="1"/>
    <col min="86" max="86" width="30.7109375" bestFit="1" customWidth="1"/>
    <col min="87" max="87" width="29.5703125" bestFit="1" customWidth="1"/>
    <col min="88" max="88" width="25.85546875" bestFit="1" customWidth="1"/>
    <col min="89" max="89" width="16" bestFit="1" customWidth="1"/>
    <col min="90" max="90" width="26.42578125" bestFit="1" customWidth="1"/>
    <col min="91" max="91" width="24.28515625" bestFit="1" customWidth="1"/>
    <col min="92" max="92" width="26.42578125" bestFit="1" customWidth="1"/>
    <col min="93" max="93" width="24.28515625" bestFit="1" customWidth="1"/>
    <col min="94" max="94" width="11.140625" bestFit="1" customWidth="1"/>
    <col min="95" max="95" width="16" bestFit="1" customWidth="1"/>
    <col min="96" max="96" width="26.42578125" bestFit="1" customWidth="1"/>
    <col min="97" max="97" width="24.28515625" bestFit="1" customWidth="1"/>
    <col min="98" max="98" width="26.42578125" bestFit="1" customWidth="1"/>
    <col min="99" max="99" width="24.28515625" bestFit="1" customWidth="1"/>
    <col min="100" max="100" width="30.7109375" bestFit="1" customWidth="1"/>
    <col min="101" max="101" width="29.5703125" bestFit="1" customWidth="1"/>
    <col min="102" max="102" width="25.85546875" bestFit="1" customWidth="1"/>
    <col min="103" max="103" width="16" bestFit="1" customWidth="1"/>
    <col min="104" max="104" width="26.42578125" bestFit="1" customWidth="1"/>
    <col min="105" max="105" width="24.28515625" bestFit="1" customWidth="1"/>
    <col min="106" max="106" width="8.28515625" bestFit="1" customWidth="1"/>
    <col min="107" max="107" width="17.28515625" bestFit="1" customWidth="1"/>
    <col min="108" max="108" width="11.140625" bestFit="1" customWidth="1"/>
    <col min="109" max="109" width="7.5703125" bestFit="1" customWidth="1"/>
    <col min="110" max="110" width="17.5703125" bestFit="1" customWidth="1"/>
    <col min="111" max="111" width="16" bestFit="1" customWidth="1"/>
    <col min="112" max="112" width="26.42578125" bestFit="1" customWidth="1"/>
    <col min="113" max="113" width="24.28515625" bestFit="1" customWidth="1"/>
    <col min="114" max="114" width="12.7109375" bestFit="1" customWidth="1"/>
    <col min="115" max="115" width="8" bestFit="1" customWidth="1"/>
    <col min="116" max="116" width="16.5703125" bestFit="1" customWidth="1"/>
    <col min="117" max="117" width="15.42578125" bestFit="1" customWidth="1"/>
    <col min="118" max="118" width="25.42578125" bestFit="1" customWidth="1"/>
    <col min="119" max="119" width="23.28515625" bestFit="1" customWidth="1"/>
    <col min="120" max="120" width="7.42578125" bestFit="1" customWidth="1"/>
    <col min="121" max="121" width="16.85546875" bestFit="1" customWidth="1"/>
    <col min="122" max="122" width="21" bestFit="1" customWidth="1"/>
    <col min="123" max="123" width="15.42578125" bestFit="1" customWidth="1"/>
    <col min="124" max="124" width="25.42578125" bestFit="1" customWidth="1"/>
    <col min="125" max="125" width="23.28515625" bestFit="1" customWidth="1"/>
    <col min="126" max="126" width="28.5703125" bestFit="1" customWidth="1"/>
    <col min="127" max="127" width="27.5703125" bestFit="1" customWidth="1"/>
    <col min="128" max="128" width="23.140625" bestFit="1" customWidth="1"/>
    <col min="129" max="129" width="35" bestFit="1" customWidth="1"/>
    <col min="130" max="130" width="29.42578125" bestFit="1" customWidth="1"/>
    <col min="131" max="131" width="28.42578125" bestFit="1" customWidth="1"/>
    <col min="132" max="132" width="24.85546875" bestFit="1" customWidth="1"/>
    <col min="133" max="133" width="15.42578125" bestFit="1" customWidth="1"/>
    <col min="134" max="134" width="25.42578125" bestFit="1" customWidth="1"/>
    <col min="135" max="135" width="23.28515625" bestFit="1" customWidth="1"/>
    <col min="136" max="136" width="26.42578125" bestFit="1" customWidth="1"/>
    <col min="137" max="137" width="24.28515625" customWidth="1"/>
    <col min="138" max="138" width="18.28515625" bestFit="1" customWidth="1"/>
    <col min="139" max="139" width="16" customWidth="1"/>
    <col min="140" max="140" width="33.5703125" bestFit="1" customWidth="1"/>
    <col min="141" max="141" width="29.85546875" bestFit="1" customWidth="1"/>
    <col min="142" max="142" width="26.42578125" bestFit="1" customWidth="1"/>
    <col min="143" max="143" width="24.28515625" bestFit="1" customWidth="1"/>
    <col min="144" max="144" width="26.42578125" bestFit="1" customWidth="1"/>
    <col min="145" max="145" width="24.28515625" bestFit="1" customWidth="1"/>
    <col min="146" max="146" width="33.5703125" bestFit="1" customWidth="1"/>
    <col min="147" max="147" width="29.85546875" bestFit="1" customWidth="1"/>
    <col min="148" max="148" width="28.7109375" bestFit="1" customWidth="1"/>
    <col min="149" max="149" width="24.140625" bestFit="1" customWidth="1"/>
    <col min="150" max="150" width="36.5703125" bestFit="1" customWidth="1"/>
    <col min="151" max="151" width="30.7109375" bestFit="1" customWidth="1"/>
    <col min="152" max="152" width="26.42578125" bestFit="1" customWidth="1"/>
    <col min="153" max="153" width="24.28515625" bestFit="1" customWidth="1"/>
    <col min="154" max="154" width="36.5703125" bestFit="1" customWidth="1"/>
    <col min="155" max="155" width="30.7109375" bestFit="1" customWidth="1"/>
    <col min="156" max="156" width="26.42578125" bestFit="1" customWidth="1"/>
    <col min="157" max="157" width="24.28515625" bestFit="1" customWidth="1"/>
    <col min="158" max="158" width="18.28515625" bestFit="1" customWidth="1"/>
    <col min="159" max="159" width="16" bestFit="1" customWidth="1"/>
    <col min="160" max="160" width="33.5703125" bestFit="1" customWidth="1"/>
    <col min="161" max="161" width="29.85546875" customWidth="1"/>
    <col min="162" max="162" width="26.42578125" bestFit="1" customWidth="1"/>
    <col min="163" max="163" width="24.28515625" bestFit="1" customWidth="1"/>
    <col min="164" max="164" width="28.7109375" bestFit="1" customWidth="1"/>
    <col min="165" max="165" width="24.140625" bestFit="1" customWidth="1"/>
    <col min="166" max="166" width="36.5703125" bestFit="1" customWidth="1"/>
    <col min="167" max="167" width="30.7109375" bestFit="1" customWidth="1"/>
    <col min="168" max="168" width="29.5703125" bestFit="1" customWidth="1"/>
    <col min="169" max="169" width="25.85546875" bestFit="1" customWidth="1"/>
    <col min="170" max="170" width="26.42578125" bestFit="1" customWidth="1"/>
    <col min="171" max="171" width="24.28515625" bestFit="1" customWidth="1"/>
    <col min="172" max="172" width="29.5703125" bestFit="1" customWidth="1"/>
    <col min="173" max="173" width="25.85546875" bestFit="1" customWidth="1"/>
    <col min="174" max="174" width="26.42578125" bestFit="1" customWidth="1"/>
    <col min="175" max="175" width="24.28515625" bestFit="1" customWidth="1"/>
    <col min="176" max="176" width="28.7109375" bestFit="1" customWidth="1"/>
    <col min="177" max="177" width="24.140625" bestFit="1" customWidth="1"/>
    <col min="178" max="178" width="26.42578125" bestFit="1" customWidth="1"/>
    <col min="179" max="179" width="24.28515625" bestFit="1" customWidth="1"/>
    <col min="180" max="180" width="26.42578125" bestFit="1" customWidth="1"/>
    <col min="181" max="181" width="24.28515625" bestFit="1" customWidth="1"/>
    <col min="182" max="182" width="29.5703125" bestFit="1" customWidth="1"/>
    <col min="183" max="183" width="25.85546875" bestFit="1" customWidth="1"/>
    <col min="184" max="184" width="33.140625" bestFit="1" customWidth="1"/>
    <col min="185" max="185" width="13.140625" bestFit="1" customWidth="1"/>
    <col min="186" max="186" width="8.5703125" bestFit="1" customWidth="1"/>
    <col min="187" max="187" width="17.28515625" bestFit="1" customWidth="1"/>
    <col min="188" max="188" width="26.42578125" bestFit="1" customWidth="1"/>
    <col min="189" max="189" width="24.28515625" bestFit="1" customWidth="1"/>
    <col min="190" max="190" width="26.42578125" bestFit="1" customWidth="1"/>
    <col min="191" max="191" width="24.28515625" bestFit="1" customWidth="1"/>
    <col min="192" max="192" width="26.42578125" bestFit="1" customWidth="1"/>
    <col min="193" max="193" width="24.28515625" bestFit="1" customWidth="1"/>
    <col min="194" max="194" width="18.28515625" bestFit="1" customWidth="1"/>
    <col min="195" max="195" width="16" bestFit="1" customWidth="1"/>
    <col min="196" max="196" width="33.5703125" bestFit="1" customWidth="1"/>
    <col min="197" max="197" width="29.85546875" bestFit="1" customWidth="1"/>
    <col min="198" max="198" width="28.7109375" bestFit="1" customWidth="1"/>
    <col min="199" max="199" width="24.140625" bestFit="1" customWidth="1"/>
    <col min="200" max="200" width="26.42578125" bestFit="1" customWidth="1"/>
    <col min="201" max="201" width="24.28515625" bestFit="1" customWidth="1"/>
    <col min="202" max="202" width="29.5703125" bestFit="1" customWidth="1"/>
    <col min="203" max="203" width="25.85546875" bestFit="1" customWidth="1"/>
    <col min="204" max="204" width="33.140625" bestFit="1" customWidth="1"/>
    <col min="205" max="205" width="13.140625" bestFit="1" customWidth="1"/>
    <col min="206" max="206" width="8.5703125" bestFit="1" customWidth="1"/>
    <col min="207" max="207" width="17.28515625" bestFit="1" customWidth="1"/>
    <col min="208" max="208" width="26.42578125" bestFit="1" customWidth="1"/>
    <col min="209" max="209" width="24.28515625" bestFit="1" customWidth="1"/>
    <col min="210" max="210" width="20.42578125" bestFit="1" customWidth="1"/>
    <col min="211" max="211" width="18.140625" bestFit="1" customWidth="1"/>
    <col min="212" max="212" width="23" bestFit="1" customWidth="1"/>
    <col min="213" max="213" width="20.85546875" bestFit="1" customWidth="1"/>
    <col min="214" max="214" width="18.28515625" bestFit="1" customWidth="1"/>
    <col min="215" max="215" width="16" bestFit="1" customWidth="1"/>
    <col min="216" max="216" width="33.5703125" bestFit="1" customWidth="1"/>
    <col min="217" max="217" width="29.85546875" customWidth="1"/>
    <col min="218" max="218" width="26.42578125" bestFit="1" customWidth="1"/>
    <col min="219" max="219" width="24.28515625" bestFit="1" customWidth="1"/>
    <col min="220" max="220" width="28.7109375" bestFit="1" customWidth="1"/>
    <col min="221" max="221" width="24.140625" bestFit="1" customWidth="1"/>
    <col min="222" max="222" width="36.5703125" bestFit="1" customWidth="1"/>
    <col min="223" max="223" width="30.7109375" bestFit="1" customWidth="1"/>
    <col min="224" max="224" width="26.42578125" bestFit="1" customWidth="1"/>
    <col min="225" max="225" width="24.28515625" bestFit="1" customWidth="1"/>
    <col min="226" max="226" width="26.42578125" bestFit="1" customWidth="1"/>
    <col min="227" max="227" width="24.28515625" bestFit="1" customWidth="1"/>
    <col min="228" max="228" width="11.140625" bestFit="1" customWidth="1"/>
    <col min="229" max="229" width="7.5703125" bestFit="1" customWidth="1"/>
    <col min="230" max="230" width="17.5703125" bestFit="1" customWidth="1"/>
    <col min="231" max="231" width="21" bestFit="1" customWidth="1"/>
    <col min="232" max="232" width="34.42578125" bestFit="1" customWidth="1"/>
    <col min="233" max="233" width="11.140625" bestFit="1" customWidth="1"/>
    <col min="234" max="234" width="26.42578125" bestFit="1" customWidth="1"/>
    <col min="235" max="235" width="24.28515625" bestFit="1" customWidth="1"/>
    <col min="236" max="236" width="11.140625" bestFit="1" customWidth="1"/>
    <col min="237" max="237" width="6.5703125" bestFit="1" customWidth="1"/>
    <col min="238" max="238" width="17.5703125" bestFit="1" customWidth="1"/>
    <col min="239" max="239" width="21" bestFit="1" customWidth="1"/>
    <col min="240" max="240" width="34.42578125" bestFit="1" customWidth="1"/>
    <col min="241" max="241" width="26.42578125" bestFit="1" customWidth="1"/>
    <col min="242" max="242" width="24.28515625" bestFit="1" customWidth="1"/>
    <col min="243" max="243" width="20.85546875" bestFit="1" customWidth="1"/>
    <col min="244" max="244" width="33.5703125" bestFit="1" customWidth="1"/>
    <col min="245" max="245" width="29.85546875" bestFit="1" customWidth="1"/>
    <col min="246" max="246" width="28.7109375" bestFit="1" customWidth="1"/>
    <col min="247" max="247" width="24.140625" bestFit="1" customWidth="1"/>
    <col min="248" max="248" width="36.5703125" bestFit="1" customWidth="1"/>
    <col min="249" max="249" width="30.7109375" bestFit="1" customWidth="1"/>
    <col min="250" max="250" width="29.5703125" bestFit="1" customWidth="1"/>
    <col min="251" max="251" width="25.85546875" bestFit="1" customWidth="1"/>
    <col min="252" max="252" width="33.140625" bestFit="1" customWidth="1"/>
    <col min="253" max="253" width="13.140625" bestFit="1" customWidth="1"/>
    <col min="254" max="254" width="26.42578125" bestFit="1" customWidth="1"/>
    <col min="255" max="256" width="24.28515625" bestFit="1" customWidth="1"/>
    <col min="257" max="257" width="8.5703125" bestFit="1" customWidth="1"/>
    <col min="258" max="258" width="33.140625" bestFit="1" customWidth="1"/>
    <col min="259" max="259" width="13.140625" bestFit="1" customWidth="1"/>
    <col min="260" max="260" width="11.28515625" bestFit="1" customWidth="1"/>
    <col min="261" max="261" width="26.42578125" bestFit="1" customWidth="1"/>
    <col min="262" max="262" width="17.28515625" bestFit="1" customWidth="1"/>
    <col min="263" max="263" width="11.140625" customWidth="1"/>
    <col min="264" max="264" width="24.28515625" bestFit="1" customWidth="1"/>
    <col min="265" max="265" width="8.28515625" bestFit="1" customWidth="1"/>
    <col min="266" max="266" width="7.5703125" bestFit="1" customWidth="1"/>
    <col min="267" max="267" width="17.5703125" bestFit="1" customWidth="1"/>
    <col min="268" max="268" width="21" bestFit="1" customWidth="1"/>
    <col min="269" max="269" width="34.42578125" bestFit="1" customWidth="1"/>
    <col min="270" max="270" width="24.28515625" bestFit="1" customWidth="1"/>
    <col min="271" max="271" width="8.5703125" bestFit="1" customWidth="1"/>
    <col min="272" max="272" width="11.140625" bestFit="1" customWidth="1"/>
    <col min="273" max="273" width="7.5703125" bestFit="1" customWidth="1"/>
    <col min="274" max="274" width="24.28515625" bestFit="1" customWidth="1"/>
    <col min="275" max="275" width="8.5703125" bestFit="1" customWidth="1"/>
    <col min="276" max="276" width="34.42578125" bestFit="1" customWidth="1"/>
    <col min="277" max="277" width="11.140625" bestFit="1" customWidth="1"/>
    <col min="278" max="278" width="5.28515625" bestFit="1" customWidth="1"/>
    <col min="279" max="279" width="24.28515625" bestFit="1" customWidth="1"/>
    <col min="280" max="280" width="8.5703125" bestFit="1" customWidth="1"/>
    <col min="281" max="281" width="17.28515625" bestFit="1" customWidth="1"/>
    <col min="282" max="282" width="11.140625" bestFit="1" customWidth="1"/>
    <col min="283" max="283" width="7.5703125" customWidth="1"/>
    <col min="284" max="284" width="17.5703125" bestFit="1" customWidth="1"/>
    <col min="285" max="285" width="24.28515625" bestFit="1" customWidth="1"/>
    <col min="286" max="286" width="8.28515625" bestFit="1" customWidth="1"/>
    <col min="287" max="287" width="17.5703125" bestFit="1" customWidth="1"/>
    <col min="288" max="288" width="21" bestFit="1" customWidth="1"/>
    <col min="289" max="289" width="34.42578125" bestFit="1" customWidth="1"/>
    <col min="290" max="290" width="11.140625" customWidth="1"/>
    <col min="291" max="291" width="24.28515625" bestFit="1" customWidth="1"/>
    <col min="292" max="292" width="8.5703125" bestFit="1" customWidth="1"/>
    <col min="293" max="293" width="5.28515625" bestFit="1" customWidth="1"/>
    <col min="294" max="294" width="24.28515625" bestFit="1" customWidth="1"/>
    <col min="295" max="295" width="8.5703125" bestFit="1" customWidth="1"/>
    <col min="296" max="296" width="24.28515625" bestFit="1" customWidth="1"/>
    <col min="297" max="297" width="8.5703125" bestFit="1" customWidth="1"/>
    <col min="298" max="298" width="21" bestFit="1" customWidth="1"/>
    <col min="299" max="299" width="34.42578125" bestFit="1" customWidth="1"/>
    <col min="300" max="300" width="24.28515625" bestFit="1" customWidth="1"/>
    <col min="301" max="301" width="8.5703125" bestFit="1" customWidth="1"/>
    <col min="302" max="302" width="21" bestFit="1" customWidth="1"/>
    <col min="303" max="303" width="34.42578125" bestFit="1" customWidth="1"/>
    <col min="304" max="304" width="24.28515625" bestFit="1" customWidth="1"/>
    <col min="305" max="305" width="8.5703125" bestFit="1" customWidth="1"/>
    <col min="306" max="306" width="21" bestFit="1" customWidth="1"/>
    <col min="307" max="307" width="24.28515625" bestFit="1" customWidth="1"/>
    <col min="308" max="308" width="8.5703125" bestFit="1" customWidth="1"/>
    <col min="309" max="311" width="5.28515625" bestFit="1" customWidth="1"/>
    <col min="312" max="312" width="24.28515625" bestFit="1" customWidth="1"/>
    <col min="313" max="313" width="8.5703125" bestFit="1" customWidth="1"/>
    <col min="314" max="314" width="11.140625" bestFit="1" customWidth="1"/>
    <col min="315" max="315" width="24.28515625" bestFit="1" customWidth="1"/>
    <col min="316" max="316" width="8.28515625" bestFit="1" customWidth="1"/>
    <col min="317" max="317" width="34.42578125" customWidth="1"/>
    <col min="318" max="318" width="24.28515625" bestFit="1" customWidth="1"/>
    <col min="319" max="319" width="8.5703125" bestFit="1" customWidth="1"/>
    <col min="320" max="320" width="11.140625" bestFit="1" customWidth="1"/>
    <col min="321" max="321" width="24.28515625" bestFit="1" customWidth="1"/>
    <col min="322" max="323" width="8.5703125" bestFit="1" customWidth="1"/>
    <col min="324" max="324" width="17.5703125" bestFit="1" customWidth="1"/>
    <col min="325" max="325" width="21" bestFit="1" customWidth="1"/>
    <col min="326" max="326" width="24.28515625" bestFit="1" customWidth="1"/>
    <col min="327" max="327" width="8.5703125" bestFit="1" customWidth="1"/>
    <col min="328" max="328" width="5.28515625" bestFit="1" customWidth="1"/>
    <col min="329" max="329" width="24.28515625" bestFit="1" customWidth="1"/>
    <col min="330" max="330" width="8.5703125" bestFit="1" customWidth="1"/>
    <col min="331" max="331" width="5.28515625" bestFit="1" customWidth="1"/>
    <col min="332" max="332" width="24.28515625" bestFit="1" customWidth="1"/>
    <col min="333" max="333" width="8.5703125" bestFit="1" customWidth="1"/>
    <col min="334" max="334" width="17.5703125" bestFit="1" customWidth="1"/>
    <col min="335" max="335" width="21" bestFit="1" customWidth="1"/>
    <col min="336" max="336" width="34.42578125" customWidth="1"/>
    <col min="337" max="337" width="24.28515625" bestFit="1" customWidth="1"/>
    <col min="338" max="338" width="8.5703125" bestFit="1" customWidth="1"/>
    <col min="339" max="339" width="11.140625" customWidth="1"/>
    <col min="340" max="340" width="5.28515625" bestFit="1" customWidth="1"/>
    <col min="341" max="341" width="33.140625" bestFit="1" customWidth="1"/>
    <col min="342" max="342" width="8.5703125" bestFit="1" customWidth="1"/>
    <col min="343" max="343" width="24.28515625" bestFit="1" customWidth="1"/>
    <col min="344" max="344" width="17.28515625" bestFit="1" customWidth="1"/>
    <col min="345" max="345" width="11.140625" bestFit="1" customWidth="1"/>
    <col min="346" max="346" width="7.5703125" customWidth="1"/>
    <col min="347" max="347" width="33.140625" bestFit="1" customWidth="1"/>
    <col min="348" max="348" width="8.5703125" bestFit="1" customWidth="1"/>
    <col min="349" max="349" width="17.5703125" bestFit="1" customWidth="1"/>
    <col min="350" max="350" width="21" bestFit="1" customWidth="1"/>
    <col min="351" max="351" width="34.42578125" bestFit="1" customWidth="1"/>
    <col min="352" max="352" width="11.140625" bestFit="1" customWidth="1"/>
    <col min="353" max="353" width="33.140625" bestFit="1" customWidth="1"/>
    <col min="354" max="354" width="8.28515625" bestFit="1" customWidth="1"/>
    <col min="355" max="355" width="17.5703125" bestFit="1" customWidth="1"/>
    <col min="356" max="356" width="21" bestFit="1" customWidth="1"/>
    <col min="357" max="357" width="33.140625" bestFit="1" customWidth="1"/>
    <col min="358" max="358" width="8.5703125" bestFit="1" customWidth="1"/>
    <col min="359" max="359" width="33.140625" bestFit="1" customWidth="1"/>
    <col min="360" max="360" width="8.5703125" bestFit="1" customWidth="1"/>
    <col min="361" max="361" width="33.140625" bestFit="1" customWidth="1"/>
    <col min="362" max="362" width="8.5703125" bestFit="1" customWidth="1"/>
    <col min="363" max="364" width="5.28515625" bestFit="1" customWidth="1"/>
    <col min="365" max="365" width="33.140625" bestFit="1" customWidth="1"/>
    <col min="366" max="366" width="8.5703125" bestFit="1" customWidth="1"/>
    <col min="367" max="367" width="11.140625" bestFit="1" customWidth="1"/>
    <col min="368" max="368" width="7.5703125" bestFit="1" customWidth="1"/>
    <col min="369" max="369" width="17.5703125" bestFit="1" customWidth="1"/>
    <col min="370" max="370" width="36.28515625" bestFit="1" customWidth="1"/>
    <col min="371" max="371" width="8.5703125" bestFit="1" customWidth="1"/>
    <col min="372" max="372" width="25.85546875" bestFit="1" customWidth="1"/>
    <col min="373" max="373" width="26.42578125" bestFit="1" customWidth="1"/>
    <col min="374" max="374" width="24.28515625" customWidth="1"/>
    <col min="375" max="375" width="13.140625" bestFit="1" customWidth="1"/>
    <col min="376" max="376" width="33.140625" bestFit="1" customWidth="1"/>
    <col min="377" max="377" width="36.28515625" bestFit="1" customWidth="1"/>
    <col min="378" max="378" width="8.28515625" bestFit="1" customWidth="1"/>
    <col min="379" max="379" width="33.140625" bestFit="1" customWidth="1"/>
    <col min="380" max="380" width="17.28515625" bestFit="1" customWidth="1"/>
    <col min="381" max="381" width="11.140625" bestFit="1" customWidth="1"/>
    <col min="382" max="382" width="36.28515625" bestFit="1" customWidth="1"/>
    <col min="383" max="383" width="8.28515625" bestFit="1" customWidth="1"/>
    <col min="384" max="384" width="19.5703125" bestFit="1" customWidth="1"/>
    <col min="385" max="385" width="32.140625" bestFit="1" customWidth="1"/>
    <col min="386" max="386" width="10.5703125" bestFit="1" customWidth="1"/>
    <col min="387" max="387" width="5.140625" bestFit="1" customWidth="1"/>
    <col min="388" max="388" width="34.28515625" bestFit="1" customWidth="1"/>
    <col min="389" max="389" width="7.85546875" bestFit="1" customWidth="1"/>
    <col min="390" max="390" width="7.5703125" bestFit="1" customWidth="1"/>
    <col min="391" max="391" width="17.5703125" bestFit="1" customWidth="1"/>
    <col min="392" max="392" width="36.28515625" bestFit="1" customWidth="1"/>
    <col min="393" max="393" width="8.5703125" bestFit="1" customWidth="1"/>
    <col min="394" max="394" width="34.42578125" bestFit="1" customWidth="1"/>
    <col min="395" max="395" width="11.140625" bestFit="1" customWidth="1"/>
    <col min="396" max="396" width="5.28515625" bestFit="1" customWidth="1"/>
    <col min="397" max="397" width="36.28515625" bestFit="1" customWidth="1"/>
    <col min="398" max="398" width="8.5703125" bestFit="1" customWidth="1"/>
    <col min="399" max="399" width="29.5703125" bestFit="1" customWidth="1"/>
    <col min="400" max="400" width="25.85546875" bestFit="1" customWidth="1"/>
    <col min="401" max="401" width="26.42578125" bestFit="1" customWidth="1"/>
    <col min="402" max="402" width="24.28515625" bestFit="1" customWidth="1"/>
    <col min="403" max="403" width="13.140625" bestFit="1" customWidth="1"/>
    <col min="404" max="404" width="33.140625" bestFit="1" customWidth="1"/>
    <col min="405" max="405" width="36.28515625" bestFit="1" customWidth="1"/>
    <col min="406" max="406" width="8.5703125" bestFit="1" customWidth="1"/>
    <col min="407" max="407" width="11.140625" bestFit="1" customWidth="1"/>
    <col min="408" max="408" width="7.5703125" bestFit="1" customWidth="1"/>
    <col min="409" max="409" width="17.5703125" bestFit="1" customWidth="1"/>
    <col min="410" max="410" width="21" bestFit="1" customWidth="1"/>
    <col min="411" max="411" width="36.28515625" bestFit="1" customWidth="1"/>
    <col min="412" max="412" width="8.5703125" bestFit="1" customWidth="1"/>
    <col min="413" max="413" width="29.5703125" bestFit="1" customWidth="1"/>
    <col min="414" max="414" width="25.85546875" bestFit="1" customWidth="1"/>
    <col min="415" max="415" width="26.42578125" bestFit="1" customWidth="1"/>
    <col min="416" max="416" width="24.28515625" bestFit="1" customWidth="1"/>
    <col min="417" max="417" width="13.140625" bestFit="1" customWidth="1"/>
    <col min="418" max="418" width="33.140625" bestFit="1" customWidth="1"/>
    <col min="419" max="419" width="36.28515625" bestFit="1" customWidth="1"/>
    <col min="420" max="420" width="8.28515625" bestFit="1" customWidth="1"/>
    <col min="421" max="421" width="30.7109375" bestFit="1" customWidth="1"/>
    <col min="422" max="422" width="11.28515625" bestFit="1" customWidth="1"/>
    <col min="423" max="423" width="33.140625" bestFit="1" customWidth="1"/>
    <col min="424" max="424" width="17.28515625" bestFit="1" customWidth="1"/>
    <col min="425" max="425" width="11.140625" bestFit="1" customWidth="1"/>
    <col min="426" max="426" width="36.28515625" bestFit="1" customWidth="1"/>
    <col min="427" max="427" width="8.5703125" bestFit="1" customWidth="1"/>
    <col min="428" max="428" width="21" bestFit="1" customWidth="1"/>
    <col min="429" max="429" width="34.42578125" bestFit="1" customWidth="1"/>
    <col min="430" max="430" width="36.28515625" bestFit="1" customWidth="1"/>
    <col min="431" max="431" width="8.5703125" bestFit="1" customWidth="1"/>
    <col min="432" max="432" width="36.28515625" bestFit="1" customWidth="1"/>
    <col min="433" max="433" width="8.5703125" bestFit="1" customWidth="1"/>
    <col min="434" max="434" width="17.5703125" bestFit="1" customWidth="1"/>
    <col min="435" max="435" width="36.28515625" bestFit="1" customWidth="1"/>
    <col min="436" max="436" width="8.28515625" bestFit="1" customWidth="1"/>
    <col min="437" max="437" width="11.140625" bestFit="1" customWidth="1"/>
    <col min="438" max="439" width="5.28515625" bestFit="1" customWidth="1"/>
    <col min="440" max="440" width="36.28515625" bestFit="1" customWidth="1"/>
    <col min="441" max="441" width="8.5703125" bestFit="1" customWidth="1"/>
    <col min="442" max="442" width="33.5703125" bestFit="1" customWidth="1"/>
    <col min="443" max="443" width="29.85546875" bestFit="1" customWidth="1"/>
    <col min="444" max="444" width="36.5703125" bestFit="1" customWidth="1"/>
    <col min="445" max="445" width="30.7109375" bestFit="1" customWidth="1"/>
    <col min="446" max="446" width="33.140625" bestFit="1" customWidth="1"/>
    <col min="447" max="447" width="17.28515625" bestFit="1" customWidth="1"/>
    <col min="448" max="448" width="36.28515625" bestFit="1" customWidth="1"/>
    <col min="449" max="449" width="8.28515625" bestFit="1" customWidth="1"/>
    <col min="450" max="450" width="17.5703125" bestFit="1" customWidth="1"/>
    <col min="451" max="451" width="21" bestFit="1" customWidth="1"/>
    <col min="452" max="452" width="34.42578125" bestFit="1" customWidth="1"/>
    <col min="453" max="453" width="11.140625" bestFit="1" customWidth="1"/>
    <col min="454" max="455" width="5.28515625" bestFit="1" customWidth="1"/>
    <col min="456" max="456" width="36.28515625" bestFit="1" customWidth="1"/>
    <col min="457" max="457" width="8.5703125" bestFit="1" customWidth="1"/>
    <col min="458" max="458" width="17.5703125" bestFit="1" customWidth="1"/>
    <col min="459" max="459" width="21" bestFit="1" customWidth="1"/>
    <col min="460" max="460" width="36.28515625" bestFit="1" customWidth="1"/>
    <col min="461" max="461" width="8.28515625" bestFit="1" customWidth="1"/>
    <col min="462" max="462" width="33.140625" bestFit="1" customWidth="1"/>
    <col min="463" max="463" width="17.28515625" bestFit="1" customWidth="1"/>
    <col min="464" max="464" width="11.140625" bestFit="1" customWidth="1"/>
    <col min="465" max="465" width="36.28515625" bestFit="1" customWidth="1"/>
    <col min="466" max="466" width="8.28515625" bestFit="1" customWidth="1"/>
    <col min="467" max="467" width="21" bestFit="1" customWidth="1"/>
    <col min="468" max="468" width="34.42578125" bestFit="1" customWidth="1"/>
    <col min="469" max="469" width="11.140625" bestFit="1" customWidth="1"/>
    <col min="470" max="470" width="36.28515625" bestFit="1" customWidth="1"/>
    <col min="471" max="471" width="8.5703125" bestFit="1" customWidth="1"/>
    <col min="472" max="472" width="36.28515625" bestFit="1" customWidth="1"/>
    <col min="473" max="473" width="8.5703125" bestFit="1" customWidth="1"/>
    <col min="474" max="474" width="11.140625" bestFit="1" customWidth="1"/>
    <col min="475" max="475" width="7.5703125" bestFit="1" customWidth="1"/>
    <col min="476" max="476" width="17.5703125" bestFit="1" customWidth="1"/>
    <col min="477" max="477" width="36.28515625" bestFit="1" customWidth="1"/>
    <col min="478" max="478" width="8.28515625" bestFit="1" customWidth="1"/>
    <col min="479" max="479" width="36.28515625" bestFit="1" customWidth="1"/>
    <col min="480" max="480" width="8.5703125" bestFit="1" customWidth="1"/>
    <col min="481" max="481" width="34.42578125" bestFit="1" customWidth="1"/>
    <col min="482" max="482" width="11.140625" bestFit="1" customWidth="1"/>
    <col min="483" max="484" width="5.28515625" bestFit="1" customWidth="1"/>
    <col min="485" max="485" width="36.28515625" bestFit="1" customWidth="1"/>
    <col min="486" max="486" width="8.5703125" bestFit="1" customWidth="1"/>
    <col min="487" max="487" width="36.28515625" bestFit="1" customWidth="1"/>
    <col min="488" max="488" width="8.28515625" bestFit="1" customWidth="1"/>
    <col min="489" max="489" width="36.28515625" bestFit="1" customWidth="1"/>
    <col min="490" max="490" width="8.28515625" bestFit="1" customWidth="1"/>
    <col min="491" max="491" width="33.140625" bestFit="1" customWidth="1"/>
    <col min="492" max="492" width="17.28515625" bestFit="1" customWidth="1"/>
    <col min="493" max="493" width="11.140625" bestFit="1" customWidth="1"/>
    <col min="494" max="494" width="36.28515625" bestFit="1" customWidth="1"/>
    <col min="495" max="495" width="8.28515625" bestFit="1" customWidth="1"/>
    <col min="496" max="496" width="36.28515625" bestFit="1" customWidth="1"/>
    <col min="497" max="497" width="8.28515625" customWidth="1"/>
    <col min="498" max="498" width="17.28515625" bestFit="1" customWidth="1"/>
    <col min="499" max="499" width="17.5703125" bestFit="1" customWidth="1"/>
    <col min="500" max="500" width="21" bestFit="1" customWidth="1"/>
    <col min="501" max="501" width="34.42578125" bestFit="1" customWidth="1"/>
    <col min="502" max="502" width="11.140625" bestFit="1" customWidth="1"/>
    <col min="503" max="504" width="5.28515625" bestFit="1" customWidth="1"/>
    <col min="505" max="505" width="11.140625" bestFit="1" customWidth="1"/>
    <col min="506" max="506" width="7.5703125" bestFit="1" customWidth="1"/>
    <col min="507" max="507" width="17.5703125" bestFit="1" customWidth="1"/>
    <col min="508" max="508" width="21" bestFit="1" customWidth="1"/>
    <col min="509" max="509" width="11.140625" bestFit="1" customWidth="1"/>
    <col min="510" max="510" width="7.5703125" bestFit="1" customWidth="1"/>
    <col min="511" max="511" width="33.140625" bestFit="1" customWidth="1"/>
    <col min="512" max="512" width="36.28515625" bestFit="1" customWidth="1"/>
    <col min="513" max="513" width="8.5703125" bestFit="1" customWidth="1"/>
    <col min="514" max="514" width="17.28515625" bestFit="1" customWidth="1"/>
    <col min="515" max="515" width="11.140625" bestFit="1" customWidth="1"/>
    <col min="516" max="516" width="7.5703125" customWidth="1"/>
    <col min="517" max="517" width="17.5703125" bestFit="1" customWidth="1"/>
    <col min="518" max="518" width="21" bestFit="1" customWidth="1"/>
    <col min="519" max="519" width="7.5703125" bestFit="1" customWidth="1"/>
    <col min="520" max="520" width="17.5703125" bestFit="1" customWidth="1"/>
    <col min="521" max="521" width="21" bestFit="1" customWidth="1"/>
    <col min="522" max="522" width="8.28515625" bestFit="1" customWidth="1"/>
    <col min="523" max="523" width="17.28515625" bestFit="1" customWidth="1"/>
    <col min="524" max="524" width="11.140625" bestFit="1" customWidth="1"/>
    <col min="525" max="525" width="7.5703125" bestFit="1" customWidth="1"/>
    <col min="526" max="526" width="17.5703125" bestFit="1" customWidth="1"/>
    <col min="527" max="527" width="21" bestFit="1" customWidth="1"/>
    <col min="528" max="528" width="34.42578125" bestFit="1" customWidth="1"/>
    <col min="529" max="529" width="11.140625" bestFit="1" customWidth="1"/>
    <col min="530" max="536" width="5.28515625" bestFit="1" customWidth="1"/>
    <col min="537" max="537" width="11.5703125" bestFit="1" customWidth="1"/>
    <col min="538" max="538" width="31" bestFit="1" customWidth="1"/>
    <col min="539" max="539" width="17.5703125" bestFit="1" customWidth="1"/>
    <col min="540" max="540" width="21" bestFit="1" customWidth="1"/>
    <col min="541" max="541" width="34.42578125" bestFit="1" customWidth="1"/>
    <col min="542" max="542" width="11.140625" bestFit="1" customWidth="1"/>
    <col min="543" max="545" width="5.28515625" bestFit="1" customWidth="1"/>
    <col min="546" max="546" width="11.5703125" bestFit="1" customWidth="1"/>
    <col min="547" max="547" width="31" bestFit="1" customWidth="1"/>
    <col min="548" max="548" width="29.85546875" bestFit="1" customWidth="1"/>
    <col min="549" max="549" width="36.5703125" bestFit="1" customWidth="1"/>
    <col min="550" max="550" width="30.7109375" bestFit="1" customWidth="1"/>
    <col min="551" max="551" width="8.28515625" bestFit="1" customWidth="1"/>
    <col min="552" max="552" width="17.28515625" bestFit="1" customWidth="1"/>
    <col min="553" max="553" width="11.140625" bestFit="1" customWidth="1"/>
    <col min="554" max="554" width="7.5703125" bestFit="1" customWidth="1"/>
    <col min="555" max="555" width="17.5703125" bestFit="1" customWidth="1"/>
    <col min="556" max="556" width="21" bestFit="1" customWidth="1"/>
    <col min="557" max="557" width="34.42578125" bestFit="1" customWidth="1"/>
    <col min="558" max="558" width="11.140625" bestFit="1" customWidth="1"/>
    <col min="559" max="559" width="33.140625" bestFit="1" customWidth="1"/>
    <col min="560" max="560" width="36.28515625" bestFit="1" customWidth="1"/>
    <col min="561" max="561" width="8.5703125" bestFit="1" customWidth="1"/>
    <col min="562" max="562" width="17.28515625" bestFit="1" customWidth="1"/>
    <col min="563" max="563" width="11.140625" bestFit="1" customWidth="1"/>
    <col min="564" max="564" width="33.140625" bestFit="1" customWidth="1"/>
    <col min="565" max="565" width="36.28515625" bestFit="1" customWidth="1"/>
    <col min="566" max="566" width="33.140625" bestFit="1" customWidth="1"/>
    <col min="567" max="567" width="36.28515625" bestFit="1" customWidth="1"/>
    <col min="568" max="568" width="11.28515625" bestFit="1" customWidth="1"/>
    <col min="569" max="569" width="8.5703125" bestFit="1" customWidth="1"/>
    <col min="570" max="570" width="33.140625" bestFit="1" customWidth="1"/>
    <col min="571" max="571" width="36.28515625" bestFit="1" customWidth="1"/>
    <col min="572" max="572" width="30.7109375" bestFit="1" customWidth="1"/>
    <col min="573" max="573" width="33.140625" bestFit="1" customWidth="1"/>
    <col min="574" max="574" width="36.28515625" customWidth="1"/>
    <col min="575" max="575" width="9" bestFit="1" customWidth="1"/>
    <col min="576" max="576" width="17.28515625" bestFit="1" customWidth="1"/>
    <col min="577" max="577" width="11.140625" bestFit="1" customWidth="1"/>
    <col min="578" max="578" width="8" bestFit="1" customWidth="1"/>
    <col min="579" max="579" width="10.42578125" bestFit="1" customWidth="1"/>
    <col min="580" max="580" width="31" bestFit="1" customWidth="1"/>
    <col min="581" max="581" width="11.5703125" bestFit="1" customWidth="1"/>
    <col min="582" max="582" width="14.7109375" bestFit="1" customWidth="1"/>
    <col min="583" max="583" width="13.5703125" bestFit="1" customWidth="1"/>
    <col min="584" max="584" width="35.140625" bestFit="1" customWidth="1"/>
    <col min="585" max="585" width="15.85546875" bestFit="1" customWidth="1"/>
    <col min="586" max="586" width="18.42578125" bestFit="1" customWidth="1"/>
    <col min="587" max="587" width="11.28515625" bestFit="1" customWidth="1"/>
    <col min="588" max="589" width="11.140625" bestFit="1" customWidth="1"/>
    <col min="590" max="590" width="16" bestFit="1" customWidth="1"/>
    <col min="591" max="591" width="15.28515625" bestFit="1" customWidth="1"/>
    <col min="592" max="592" width="13.7109375" bestFit="1" customWidth="1"/>
    <col min="593" max="593" width="19.140625" bestFit="1" customWidth="1"/>
    <col min="594" max="594" width="16.85546875" bestFit="1" customWidth="1"/>
    <col min="595" max="595" width="17.7109375" bestFit="1" customWidth="1"/>
    <col min="596" max="596" width="15.42578125" bestFit="1" customWidth="1"/>
    <col min="597" max="597" width="14.7109375" bestFit="1" customWidth="1"/>
    <col min="598" max="598" width="12.42578125" bestFit="1" customWidth="1"/>
    <col min="599" max="599" width="20.7109375" bestFit="1" customWidth="1"/>
    <col min="600" max="600" width="18.5703125" bestFit="1" customWidth="1"/>
    <col min="601" max="601" width="19.42578125" bestFit="1" customWidth="1"/>
    <col min="602" max="602" width="17.28515625" bestFit="1" customWidth="1"/>
    <col min="603" max="603" width="22" bestFit="1" customWidth="1"/>
    <col min="604" max="604" width="19.7109375" bestFit="1" customWidth="1"/>
    <col min="605" max="605" width="27.42578125" bestFit="1" customWidth="1"/>
    <col min="606" max="606" width="25.140625" bestFit="1" customWidth="1"/>
    <col min="607" max="607" width="36" bestFit="1" customWidth="1"/>
    <col min="608" max="608" width="27.42578125" bestFit="1" customWidth="1"/>
    <col min="609" max="609" width="34.28515625" bestFit="1" customWidth="1"/>
    <col min="610" max="610" width="28.42578125" bestFit="1" customWidth="1"/>
    <col min="611" max="611" width="40.85546875" bestFit="1" customWidth="1"/>
    <col min="612" max="612" width="34" bestFit="1" customWidth="1"/>
    <col min="613" max="613" width="30.85546875" bestFit="1" customWidth="1"/>
    <col min="614" max="614" width="12.140625" bestFit="1" customWidth="1"/>
    <col min="615" max="615" width="15" bestFit="1" customWidth="1"/>
    <col min="616" max="617" width="12.140625" bestFit="1" customWidth="1"/>
    <col min="618" max="618" width="15.140625" bestFit="1" customWidth="1"/>
    <col min="619" max="619" width="18.7109375" bestFit="1" customWidth="1"/>
    <col min="620" max="620" width="31.5703125" bestFit="1" customWidth="1"/>
  </cols>
  <sheetData>
    <row r="1" spans="1:9" x14ac:dyDescent="0.25">
      <c r="A1" t="s">
        <v>308</v>
      </c>
      <c r="I1"/>
    </row>
    <row r="2" spans="1:9" x14ac:dyDescent="0.25">
      <c r="I2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B36D6-9B47-4D56-8BF9-082305093590}">
  <sheetPr codeName="Sheet3">
    <tabColor theme="9"/>
  </sheetPr>
  <dimension ref="A1:AN20"/>
  <sheetViews>
    <sheetView workbookViewId="0">
      <selection sqref="A1:AN20"/>
    </sheetView>
  </sheetViews>
  <sheetFormatPr defaultRowHeight="15" x14ac:dyDescent="0.25"/>
  <cols>
    <col min="1" max="1" width="20.140625" bestFit="1" customWidth="1"/>
    <col min="2" max="3" width="11.85546875" bestFit="1" customWidth="1"/>
    <col min="4" max="4" width="14.28515625" bestFit="1" customWidth="1"/>
    <col min="5" max="5" width="7.140625" bestFit="1" customWidth="1"/>
    <col min="6" max="6" width="12" bestFit="1" customWidth="1"/>
    <col min="7" max="7" width="14.7109375" bestFit="1" customWidth="1"/>
    <col min="8" max="8" width="10.85546875" bestFit="1" customWidth="1"/>
    <col min="9" max="9" width="13.5703125" bestFit="1" customWidth="1"/>
    <col min="10" max="10" width="20.7109375" bestFit="1" customWidth="1"/>
    <col min="11" max="11" width="21.42578125" bestFit="1" customWidth="1"/>
    <col min="12" max="12" width="19.140625" bestFit="1" customWidth="1"/>
    <col min="13" max="13" width="20" bestFit="1" customWidth="1"/>
    <col min="14" max="14" width="17.7109375" bestFit="1" customWidth="1"/>
    <col min="15" max="15" width="20.42578125" bestFit="1" customWidth="1"/>
    <col min="16" max="16" width="18.140625" bestFit="1" customWidth="1"/>
    <col min="17" max="17" width="28" bestFit="1" customWidth="1"/>
    <col min="18" max="18" width="25.7109375" bestFit="1" customWidth="1"/>
    <col min="19" max="19" width="18" bestFit="1" customWidth="1"/>
    <col min="20" max="20" width="15.85546875" bestFit="1" customWidth="1"/>
    <col min="21" max="21" width="17" bestFit="1" customWidth="1"/>
    <col min="22" max="22" width="14.7109375" bestFit="1" customWidth="1"/>
    <col min="23" max="23" width="23" bestFit="1" customWidth="1"/>
    <col min="24" max="24" width="20.85546875" bestFit="1" customWidth="1"/>
    <col min="25" max="26" width="13.140625" bestFit="1" customWidth="1"/>
    <col min="27" max="27" width="20" bestFit="1" customWidth="1"/>
    <col min="28" max="28" width="17.7109375" bestFit="1" customWidth="1"/>
    <col min="29" max="29" width="20.42578125" bestFit="1" customWidth="1"/>
    <col min="30" max="30" width="18.140625" bestFit="1" customWidth="1"/>
    <col min="31" max="31" width="20.7109375" bestFit="1" customWidth="1"/>
    <col min="32" max="32" width="18.42578125" bestFit="1" customWidth="1"/>
    <col min="33" max="33" width="42.28515625" bestFit="1" customWidth="1"/>
    <col min="34" max="34" width="40" bestFit="1" customWidth="1"/>
    <col min="35" max="35" width="32.85546875" bestFit="1" customWidth="1"/>
    <col min="36" max="36" width="29.140625" customWidth="1"/>
    <col min="37" max="37" width="32" bestFit="1" customWidth="1"/>
    <col min="38" max="38" width="27.28515625" bestFit="1" customWidth="1"/>
    <col min="39" max="39" width="18.28515625" bestFit="1" customWidth="1"/>
    <col min="40" max="40" width="16" bestFit="1" customWidth="1"/>
    <col min="41" max="41" width="32" bestFit="1" customWidth="1"/>
    <col min="42" max="42" width="27.28515625" bestFit="1" customWidth="1"/>
    <col min="43" max="43" width="32.7109375" bestFit="1" customWidth="1"/>
    <col min="44" max="44" width="28.140625" bestFit="1" customWidth="1"/>
    <col min="45" max="45" width="18.28515625" bestFit="1" customWidth="1"/>
    <col min="46" max="46" width="16" bestFit="1" customWidth="1"/>
    <col min="47" max="47" width="20.7109375" bestFit="1" customWidth="1"/>
    <col min="48" max="48" width="18.42578125" bestFit="1" customWidth="1"/>
    <col min="49" max="49" width="42.28515625" bestFit="1" customWidth="1"/>
    <col min="50" max="50" width="40" bestFit="1" customWidth="1"/>
    <col min="51" max="51" width="32.85546875" bestFit="1" customWidth="1"/>
    <col min="52" max="52" width="29.140625" bestFit="1" customWidth="1"/>
    <col min="53" max="53" width="18.28515625" bestFit="1" customWidth="1"/>
    <col min="54" max="54" width="16" bestFit="1" customWidth="1"/>
    <col min="55" max="55" width="32.7109375" bestFit="1" customWidth="1"/>
    <col min="56" max="56" width="28.140625" bestFit="1" customWidth="1"/>
    <col min="57" max="57" width="40" bestFit="1" customWidth="1"/>
    <col min="58" max="58" width="36.42578125" bestFit="1" customWidth="1"/>
    <col min="59" max="59" width="33.140625" bestFit="1" customWidth="1"/>
    <col min="60" max="60" width="15.42578125" bestFit="1" customWidth="1"/>
    <col min="61" max="61" width="13.140625" bestFit="1" customWidth="1"/>
    <col min="62" max="62" width="8.5703125" bestFit="1" customWidth="1"/>
    <col min="63" max="63" width="18.28515625" bestFit="1" customWidth="1"/>
    <col min="64" max="64" width="16" bestFit="1" customWidth="1"/>
    <col min="65" max="65" width="32" bestFit="1" customWidth="1"/>
    <col min="66" max="66" width="27.28515625" bestFit="1" customWidth="1"/>
    <col min="67" max="67" width="32.7109375" bestFit="1" customWidth="1"/>
    <col min="68" max="68" width="28.140625" bestFit="1" customWidth="1"/>
    <col min="69" max="69" width="18.28515625" bestFit="1" customWidth="1"/>
    <col min="70" max="70" width="16" bestFit="1" customWidth="1"/>
    <col min="71" max="71" width="18.28515625" bestFit="1" customWidth="1"/>
    <col min="72" max="72" width="16" bestFit="1" customWidth="1"/>
    <col min="73" max="73" width="42.28515625" bestFit="1" customWidth="1"/>
    <col min="74" max="74" width="40" bestFit="1" customWidth="1"/>
    <col min="75" max="75" width="32.85546875" bestFit="1" customWidth="1"/>
    <col min="76" max="76" width="29.140625" bestFit="1" customWidth="1"/>
    <col min="77" max="77" width="18.28515625" bestFit="1" customWidth="1"/>
    <col min="78" max="78" width="16" bestFit="1" customWidth="1"/>
    <col min="79" max="79" width="36.5703125" bestFit="1" customWidth="1"/>
    <col min="80" max="80" width="30.7109375" bestFit="1" customWidth="1"/>
    <col min="81" max="81" width="32.85546875" bestFit="1" customWidth="1"/>
    <col min="82" max="82" width="29.140625" bestFit="1" customWidth="1"/>
    <col min="83" max="83" width="18.28515625" bestFit="1" customWidth="1"/>
    <col min="84" max="85" width="16" bestFit="1" customWidth="1"/>
    <col min="86" max="86" width="33.5703125" bestFit="1" customWidth="1"/>
    <col min="87" max="87" width="29.85546875" bestFit="1" customWidth="1"/>
    <col min="88" max="88" width="36.5703125" bestFit="1" customWidth="1"/>
    <col min="89" max="89" width="30.7109375" customWidth="1"/>
    <col min="90" max="90" width="18.28515625" bestFit="1" customWidth="1"/>
    <col min="91" max="91" width="16" bestFit="1" customWidth="1"/>
    <col min="92" max="92" width="32.28515625" bestFit="1" customWidth="1"/>
    <col min="93" max="93" width="32.85546875" bestFit="1" customWidth="1"/>
    <col min="94" max="94" width="29.140625" bestFit="1" customWidth="1"/>
    <col min="95" max="95" width="32" bestFit="1" customWidth="1"/>
    <col min="96" max="96" width="18.28515625" bestFit="1" customWidth="1"/>
    <col min="97" max="97" width="16" bestFit="1" customWidth="1"/>
    <col min="98" max="98" width="18.28515625" bestFit="1" customWidth="1"/>
    <col min="99" max="99" width="16" bestFit="1" customWidth="1"/>
    <col min="100" max="100" width="29.140625" bestFit="1" customWidth="1"/>
    <col min="101" max="101" width="32" bestFit="1" customWidth="1"/>
    <col min="102" max="102" width="18.28515625" bestFit="1" customWidth="1"/>
    <col min="103" max="103" width="16" bestFit="1" customWidth="1"/>
    <col min="104" max="104" width="29.5703125" bestFit="1" customWidth="1"/>
    <col min="105" max="105" width="25.85546875" bestFit="1" customWidth="1"/>
    <col min="106" max="106" width="32.28515625" bestFit="1" customWidth="1"/>
    <col min="107" max="107" width="32.85546875" bestFit="1" customWidth="1"/>
    <col min="108" max="108" width="18.28515625" bestFit="1" customWidth="1"/>
    <col min="109" max="109" width="16" bestFit="1" customWidth="1"/>
    <col min="110" max="110" width="36.5703125" bestFit="1" customWidth="1"/>
    <col min="111" max="111" width="30.7109375" bestFit="1" customWidth="1"/>
    <col min="112" max="112" width="18.28515625" bestFit="1" customWidth="1"/>
    <col min="113" max="113" width="16" bestFit="1" customWidth="1"/>
    <col min="114" max="114" width="18.28515625" bestFit="1" customWidth="1"/>
    <col min="115" max="115" width="16" bestFit="1" customWidth="1"/>
    <col min="116" max="116" width="42.28515625" bestFit="1" customWidth="1"/>
    <col min="117" max="117" width="40" bestFit="1" customWidth="1"/>
    <col min="118" max="118" width="33.5703125" bestFit="1" customWidth="1"/>
    <col min="119" max="119" width="29.85546875" bestFit="1" customWidth="1"/>
    <col min="120" max="120" width="18.28515625" bestFit="1" customWidth="1"/>
    <col min="121" max="121" width="16" bestFit="1" customWidth="1"/>
    <col min="122" max="122" width="18.28515625" bestFit="1" customWidth="1"/>
    <col min="123" max="123" width="16" bestFit="1" customWidth="1"/>
    <col min="124" max="124" width="29.5703125" bestFit="1" customWidth="1"/>
    <col min="125" max="125" width="25.85546875" bestFit="1" customWidth="1"/>
    <col min="126" max="126" width="18.28515625" bestFit="1" customWidth="1"/>
    <col min="127" max="127" width="16" bestFit="1" customWidth="1"/>
    <col min="128" max="128" width="18.28515625" bestFit="1" customWidth="1"/>
    <col min="129" max="129" width="16" bestFit="1" customWidth="1"/>
    <col min="130" max="130" width="42.28515625" bestFit="1" customWidth="1"/>
    <col min="131" max="131" width="40" bestFit="1" customWidth="1"/>
    <col min="132" max="132" width="33.5703125" bestFit="1" customWidth="1"/>
    <col min="133" max="133" width="29.85546875" bestFit="1" customWidth="1"/>
    <col min="134" max="134" width="18.28515625" bestFit="1" customWidth="1"/>
    <col min="135" max="135" width="16" bestFit="1" customWidth="1"/>
    <col min="136" max="136" width="36.5703125" bestFit="1" customWidth="1"/>
    <col min="137" max="137" width="30.7109375" bestFit="1" customWidth="1"/>
    <col min="138" max="138" width="29.5703125" bestFit="1" customWidth="1"/>
    <col min="139" max="139" width="25.85546875" bestFit="1" customWidth="1"/>
    <col min="140" max="140" width="32.28515625" bestFit="1" customWidth="1"/>
    <col min="141" max="141" width="33.140625" bestFit="1" customWidth="1"/>
    <col min="142" max="142" width="18.28515625" bestFit="1" customWidth="1"/>
    <col min="143" max="143" width="16" bestFit="1" customWidth="1"/>
    <col min="144" max="144" width="27.5703125" bestFit="1" customWidth="1"/>
    <col min="145" max="145" width="23.140625" bestFit="1" customWidth="1"/>
    <col min="146" max="146" width="35" bestFit="1" customWidth="1"/>
    <col min="147" max="147" width="29.42578125" customWidth="1"/>
    <col min="148" max="148" width="17.5703125" bestFit="1" customWidth="1"/>
    <col min="149" max="149" width="15.42578125" bestFit="1" customWidth="1"/>
    <col min="150" max="150" width="28.42578125" bestFit="1" customWidth="1"/>
    <col min="151" max="151" width="24.85546875" bestFit="1" customWidth="1"/>
    <col min="152" max="152" width="30.85546875" bestFit="1" customWidth="1"/>
    <col min="153" max="153" width="31.7109375" bestFit="1" customWidth="1"/>
    <col min="154" max="154" width="17.5703125" bestFit="1" customWidth="1"/>
    <col min="155" max="155" width="15.42578125" bestFit="1" customWidth="1"/>
    <col min="156" max="156" width="30.85546875" bestFit="1" customWidth="1"/>
    <col min="157" max="157" width="28.5703125" bestFit="1" customWidth="1"/>
    <col min="158" max="158" width="19.5703125" bestFit="1" customWidth="1"/>
    <col min="159" max="159" width="17.42578125" bestFit="1" customWidth="1"/>
    <col min="160" max="160" width="40.42578125" bestFit="1" customWidth="1"/>
    <col min="161" max="161" width="38.28515625" bestFit="1" customWidth="1"/>
    <col min="162" max="162" width="32.140625" bestFit="1" customWidth="1"/>
    <col min="163" max="163" width="28.5703125" bestFit="1" customWidth="1"/>
    <col min="164" max="164" width="17.5703125" bestFit="1" customWidth="1"/>
    <col min="165" max="165" width="15.42578125" bestFit="1" customWidth="1"/>
    <col min="166" max="166" width="28.7109375" bestFit="1" customWidth="1"/>
    <col min="167" max="167" width="24.140625" bestFit="1" customWidth="1"/>
    <col min="168" max="168" width="18.28515625" bestFit="1" customWidth="1"/>
    <col min="169" max="169" width="16" bestFit="1" customWidth="1"/>
    <col min="170" max="170" width="18.85546875" bestFit="1" customWidth="1"/>
    <col min="171" max="171" width="16.7109375" bestFit="1" customWidth="1"/>
    <col min="172" max="172" width="23" bestFit="1" customWidth="1"/>
    <col min="173" max="173" width="20.85546875" bestFit="1" customWidth="1"/>
    <col min="174" max="174" width="18.28515625" bestFit="1" customWidth="1"/>
    <col min="175" max="175" width="16" bestFit="1" customWidth="1"/>
    <col min="176" max="176" width="42.28515625" bestFit="1" customWidth="1"/>
    <col min="177" max="177" width="40" customWidth="1"/>
    <col min="178" max="178" width="18.28515625" bestFit="1" customWidth="1"/>
    <col min="179" max="179" width="16" bestFit="1" customWidth="1"/>
    <col min="180" max="180" width="33.5703125" bestFit="1" customWidth="1"/>
    <col min="181" max="181" width="29.85546875" bestFit="1" customWidth="1"/>
    <col min="182" max="182" width="28.7109375" bestFit="1" customWidth="1"/>
    <col min="183" max="183" width="24.140625" bestFit="1" customWidth="1"/>
    <col min="184" max="184" width="36.5703125" bestFit="1" customWidth="1"/>
    <col min="185" max="185" width="30.7109375" bestFit="1" customWidth="1"/>
    <col min="186" max="186" width="18.28515625" bestFit="1" customWidth="1"/>
    <col min="187" max="187" width="16" bestFit="1" customWidth="1"/>
    <col min="188" max="188" width="36.5703125" bestFit="1" customWidth="1"/>
    <col min="189" max="189" width="30.7109375" bestFit="1" customWidth="1"/>
    <col min="190" max="190" width="18.28515625" bestFit="1" customWidth="1"/>
    <col min="191" max="191" width="16" bestFit="1" customWidth="1"/>
    <col min="192" max="192" width="42.28515625" bestFit="1" customWidth="1"/>
    <col min="193" max="193" width="40" bestFit="1" customWidth="1"/>
    <col min="194" max="194" width="33.5703125" bestFit="1" customWidth="1"/>
    <col min="195" max="195" width="29.85546875" customWidth="1"/>
    <col min="196" max="196" width="18.28515625" bestFit="1" customWidth="1"/>
    <col min="197" max="197" width="16" bestFit="1" customWidth="1"/>
    <col min="198" max="198" width="28.7109375" bestFit="1" customWidth="1"/>
    <col min="199" max="199" width="24.140625" bestFit="1" customWidth="1"/>
    <col min="200" max="200" width="36.5703125" bestFit="1" customWidth="1"/>
    <col min="201" max="201" width="30.7109375" bestFit="1" customWidth="1"/>
    <col min="202" max="202" width="29.5703125" bestFit="1" customWidth="1"/>
    <col min="203" max="203" width="25.85546875" bestFit="1" customWidth="1"/>
    <col min="204" max="204" width="18.28515625" bestFit="1" customWidth="1"/>
    <col min="205" max="205" width="16" bestFit="1" customWidth="1"/>
    <col min="206" max="206" width="29.5703125" bestFit="1" customWidth="1"/>
    <col min="207" max="207" width="25.85546875" bestFit="1" customWidth="1"/>
    <col min="208" max="208" width="18.28515625" bestFit="1" customWidth="1"/>
    <col min="209" max="209" width="16" bestFit="1" customWidth="1"/>
    <col min="210" max="210" width="28.7109375" bestFit="1" customWidth="1"/>
    <col min="211" max="211" width="24.140625" bestFit="1" customWidth="1"/>
    <col min="212" max="212" width="18.28515625" bestFit="1" customWidth="1"/>
    <col min="213" max="213" width="16" bestFit="1" customWidth="1"/>
    <col min="214" max="214" width="18.28515625" bestFit="1" customWidth="1"/>
    <col min="215" max="215" width="16" bestFit="1" customWidth="1"/>
    <col min="216" max="216" width="29.5703125" bestFit="1" customWidth="1"/>
    <col min="217" max="217" width="25.85546875" bestFit="1" customWidth="1"/>
    <col min="218" max="218" width="33.140625" bestFit="1" customWidth="1"/>
    <col min="219" max="219" width="13.140625" bestFit="1" customWidth="1"/>
    <col min="220" max="220" width="8.5703125" bestFit="1" customWidth="1"/>
    <col min="221" max="221" width="17.28515625" bestFit="1" customWidth="1"/>
    <col min="222" max="222" width="18.28515625" bestFit="1" customWidth="1"/>
    <col min="223" max="223" width="16" bestFit="1" customWidth="1"/>
    <col min="224" max="224" width="18.28515625" bestFit="1" customWidth="1"/>
    <col min="225" max="225" width="16" bestFit="1" customWidth="1"/>
    <col min="226" max="226" width="18.28515625" bestFit="1" customWidth="1"/>
    <col min="227" max="227" width="16" bestFit="1" customWidth="1"/>
    <col min="228" max="228" width="42.28515625" bestFit="1" customWidth="1"/>
    <col min="229" max="229" width="40" bestFit="1" customWidth="1"/>
    <col min="230" max="230" width="33.5703125" bestFit="1" customWidth="1"/>
    <col min="231" max="231" width="29.85546875" bestFit="1" customWidth="1"/>
    <col min="232" max="232" width="28.7109375" bestFit="1" customWidth="1"/>
    <col min="233" max="233" width="24.140625" bestFit="1" customWidth="1"/>
    <col min="234" max="234" width="18.28515625" bestFit="1" customWidth="1"/>
    <col min="235" max="235" width="16" bestFit="1" customWidth="1"/>
    <col min="236" max="236" width="29.5703125" bestFit="1" customWidth="1"/>
    <col min="237" max="237" width="25.85546875" bestFit="1" customWidth="1"/>
    <col min="238" max="238" width="33.140625" bestFit="1" customWidth="1"/>
    <col min="239" max="239" width="13.140625" bestFit="1" customWidth="1"/>
    <col min="240" max="240" width="8.5703125" bestFit="1" customWidth="1"/>
    <col min="241" max="241" width="17.28515625" bestFit="1" customWidth="1"/>
    <col min="242" max="242" width="18.28515625" bestFit="1" customWidth="1"/>
    <col min="243" max="243" width="16" bestFit="1" customWidth="1"/>
    <col min="244" max="244" width="20.42578125" bestFit="1" customWidth="1"/>
    <col min="245" max="245" width="18.140625" bestFit="1" customWidth="1"/>
    <col min="246" max="246" width="23" bestFit="1" customWidth="1"/>
    <col min="247" max="247" width="20.85546875" bestFit="1" customWidth="1"/>
    <col min="248" max="248" width="42.28515625" bestFit="1" customWidth="1"/>
    <col min="249" max="249" width="40" bestFit="1" customWidth="1"/>
    <col min="250" max="250" width="33.5703125" bestFit="1" customWidth="1"/>
    <col min="251" max="251" width="29.85546875" customWidth="1"/>
    <col min="252" max="252" width="18.28515625" bestFit="1" customWidth="1"/>
    <col min="253" max="253" width="16" bestFit="1" customWidth="1"/>
    <col min="254" max="254" width="28.7109375" bestFit="1" customWidth="1"/>
    <col min="255" max="255" width="24.140625" bestFit="1" customWidth="1"/>
    <col min="256" max="256" width="36.5703125" bestFit="1" customWidth="1"/>
    <col min="257" max="257" width="30.7109375" bestFit="1" customWidth="1"/>
    <col min="258" max="258" width="18.28515625" bestFit="1" customWidth="1"/>
    <col min="259" max="259" width="16" bestFit="1" customWidth="1"/>
    <col min="260" max="260" width="18.28515625" bestFit="1" customWidth="1"/>
    <col min="261" max="261" width="16" bestFit="1" customWidth="1"/>
    <col min="262" max="262" width="18.28515625" bestFit="1" customWidth="1"/>
    <col min="263" max="263" width="16" bestFit="1" customWidth="1"/>
    <col min="264" max="264" width="8.5703125" bestFit="1" customWidth="1"/>
    <col min="265" max="265" width="17.28515625" bestFit="1" customWidth="1"/>
    <col min="266" max="266" width="11.140625" bestFit="1" customWidth="1"/>
    <col min="267" max="267" width="7.5703125" bestFit="1" customWidth="1"/>
    <col min="268" max="268" width="17.5703125" bestFit="1" customWidth="1"/>
    <col min="269" max="269" width="21" bestFit="1" customWidth="1"/>
    <col min="270" max="270" width="34.42578125" bestFit="1" customWidth="1"/>
    <col min="271" max="271" width="11.140625" bestFit="1" customWidth="1"/>
    <col min="272" max="272" width="18.28515625" bestFit="1" customWidth="1"/>
    <col min="273" max="273" width="16" bestFit="1" customWidth="1"/>
    <col min="274" max="274" width="11.140625" bestFit="1" customWidth="1"/>
    <col min="275" max="275" width="6.5703125" bestFit="1" customWidth="1"/>
    <col min="276" max="276" width="17.5703125" bestFit="1" customWidth="1"/>
    <col min="277" max="277" width="21" bestFit="1" customWidth="1"/>
    <col min="278" max="278" width="34.42578125" bestFit="1" customWidth="1"/>
    <col min="279" max="279" width="18.28515625" bestFit="1" customWidth="1"/>
    <col min="280" max="280" width="16" bestFit="1" customWidth="1"/>
    <col min="281" max="286" width="5.28515625" bestFit="1" customWidth="1"/>
    <col min="287" max="287" width="18.28515625" bestFit="1" customWidth="1"/>
    <col min="288" max="288" width="16" bestFit="1" customWidth="1"/>
    <col min="289" max="289" width="17.7109375" bestFit="1" customWidth="1"/>
    <col min="290" max="290" width="17" bestFit="1" customWidth="1"/>
    <col min="291" max="291" width="14.7109375" bestFit="1" customWidth="1"/>
    <col min="292" max="292" width="20" bestFit="1" customWidth="1"/>
    <col min="293" max="293" width="17.7109375" bestFit="1" customWidth="1"/>
    <col min="294" max="294" width="20.42578125" bestFit="1" customWidth="1"/>
    <col min="295" max="295" width="18.140625" bestFit="1" customWidth="1"/>
    <col min="296" max="296" width="42.28515625" bestFit="1" customWidth="1"/>
    <col min="297" max="297" width="40" bestFit="1" customWidth="1"/>
    <col min="298" max="298" width="33.5703125" bestFit="1" customWidth="1"/>
    <col min="299" max="299" width="29.85546875" bestFit="1" customWidth="1"/>
    <col min="300" max="300" width="28.7109375" bestFit="1" customWidth="1"/>
    <col min="301" max="301" width="24.140625" bestFit="1" customWidth="1"/>
    <col min="302" max="302" width="36.5703125" bestFit="1" customWidth="1"/>
    <col min="303" max="303" width="30.7109375" bestFit="1" customWidth="1"/>
    <col min="304" max="304" width="29.5703125" bestFit="1" customWidth="1"/>
    <col min="305" max="305" width="25.85546875" bestFit="1" customWidth="1"/>
    <col min="306" max="306" width="33.140625" bestFit="1" customWidth="1"/>
    <col min="307" max="307" width="13.140625" bestFit="1" customWidth="1"/>
    <col min="308" max="308" width="23" bestFit="1" customWidth="1"/>
    <col min="309" max="310" width="20.85546875" bestFit="1" customWidth="1"/>
    <col min="311" max="311" width="8.5703125" bestFit="1" customWidth="1"/>
    <col min="312" max="312" width="33.140625" bestFit="1" customWidth="1"/>
    <col min="313" max="313" width="13.140625" bestFit="1" customWidth="1"/>
    <col min="314" max="314" width="11.28515625" bestFit="1" customWidth="1"/>
    <col min="315" max="315" width="23" bestFit="1" customWidth="1"/>
    <col min="316" max="316" width="17.28515625" bestFit="1" customWidth="1"/>
    <col min="317" max="317" width="11.140625" customWidth="1"/>
    <col min="318" max="318" width="20.85546875" bestFit="1" customWidth="1"/>
    <col min="319" max="319" width="8.5703125" bestFit="1" customWidth="1"/>
    <col min="320" max="320" width="7.5703125" bestFit="1" customWidth="1"/>
    <col min="321" max="321" width="17.5703125" bestFit="1" customWidth="1"/>
    <col min="322" max="322" width="21" bestFit="1" customWidth="1"/>
    <col min="323" max="323" width="34.42578125" customWidth="1"/>
    <col min="324" max="324" width="20.85546875" bestFit="1" customWidth="1"/>
    <col min="325" max="325" width="8.5703125" bestFit="1" customWidth="1"/>
    <col min="326" max="326" width="11.140625" bestFit="1" customWidth="1"/>
    <col min="327" max="327" width="20.85546875" bestFit="1" customWidth="1"/>
    <col min="328" max="328" width="8.5703125" bestFit="1" customWidth="1"/>
    <col min="329" max="329" width="17.28515625" bestFit="1" customWidth="1"/>
    <col min="330" max="330" width="11.140625" bestFit="1" customWidth="1"/>
    <col min="331" max="331" width="7.5703125" bestFit="1" customWidth="1"/>
    <col min="332" max="332" width="20.85546875" bestFit="1" customWidth="1"/>
    <col min="333" max="333" width="8.5703125" bestFit="1" customWidth="1"/>
    <col min="334" max="334" width="34.42578125" bestFit="1" customWidth="1"/>
    <col min="335" max="335" width="11.140625" bestFit="1" customWidth="1"/>
    <col min="336" max="336" width="5.28515625" bestFit="1" customWidth="1"/>
    <col min="337" max="337" width="20.85546875" bestFit="1" customWidth="1"/>
    <col min="338" max="338" width="8.5703125" bestFit="1" customWidth="1"/>
    <col min="339" max="339" width="17.28515625" bestFit="1" customWidth="1"/>
    <col min="340" max="340" width="11.140625" bestFit="1" customWidth="1"/>
    <col min="341" max="341" width="7.5703125" customWidth="1"/>
    <col min="342" max="342" width="17.5703125" bestFit="1" customWidth="1"/>
    <col min="343" max="343" width="20.85546875" bestFit="1" customWidth="1"/>
    <col min="344" max="344" width="8.28515625" bestFit="1" customWidth="1"/>
    <col min="345" max="345" width="17.5703125" bestFit="1" customWidth="1"/>
    <col min="346" max="346" width="21" bestFit="1" customWidth="1"/>
    <col min="347" max="347" width="34.42578125" bestFit="1" customWidth="1"/>
    <col min="348" max="348" width="11.140625" customWidth="1"/>
    <col min="349" max="349" width="20.85546875" bestFit="1" customWidth="1"/>
    <col min="350" max="350" width="8.5703125" bestFit="1" customWidth="1"/>
    <col min="351" max="351" width="5.28515625" bestFit="1" customWidth="1"/>
    <col min="352" max="352" width="20.85546875" bestFit="1" customWidth="1"/>
    <col min="353" max="353" width="8.5703125" bestFit="1" customWidth="1"/>
    <col min="354" max="354" width="20.85546875" bestFit="1" customWidth="1"/>
    <col min="355" max="355" width="8.5703125" bestFit="1" customWidth="1"/>
    <col min="356" max="356" width="21" bestFit="1" customWidth="1"/>
    <col min="357" max="357" width="34.42578125" bestFit="1" customWidth="1"/>
    <col min="358" max="358" width="20.85546875" bestFit="1" customWidth="1"/>
    <col min="359" max="359" width="8.5703125" bestFit="1" customWidth="1"/>
    <col min="360" max="360" width="21" bestFit="1" customWidth="1"/>
    <col min="361" max="361" width="34.42578125" bestFit="1" customWidth="1"/>
    <col min="362" max="362" width="20.85546875" bestFit="1" customWidth="1"/>
    <col min="363" max="363" width="8.5703125" bestFit="1" customWidth="1"/>
    <col min="364" max="364" width="21" bestFit="1" customWidth="1"/>
    <col min="365" max="365" width="20.85546875" bestFit="1" customWidth="1"/>
    <col min="366" max="366" width="8.5703125" bestFit="1" customWidth="1"/>
    <col min="367" max="369" width="5.28515625" bestFit="1" customWidth="1"/>
    <col min="370" max="370" width="20.85546875" bestFit="1" customWidth="1"/>
    <col min="371" max="371" width="8.5703125" bestFit="1" customWidth="1"/>
    <col min="372" max="372" width="11.140625" bestFit="1" customWidth="1"/>
    <col min="373" max="373" width="20.85546875" bestFit="1" customWidth="1"/>
    <col min="374" max="374" width="8.28515625" bestFit="1" customWidth="1"/>
    <col min="375" max="375" width="34.42578125" customWidth="1"/>
    <col min="376" max="376" width="20.85546875" bestFit="1" customWidth="1"/>
    <col min="377" max="377" width="8.5703125" bestFit="1" customWidth="1"/>
    <col min="378" max="378" width="11.140625" customWidth="1"/>
    <col min="379" max="379" width="20.85546875" bestFit="1" customWidth="1"/>
    <col min="380" max="380" width="8.5703125" bestFit="1" customWidth="1"/>
    <col min="381" max="381" width="5.28515625" bestFit="1" customWidth="1"/>
    <col min="382" max="382" width="36.28515625" bestFit="1" customWidth="1"/>
    <col min="383" max="383" width="8.5703125" bestFit="1" customWidth="1"/>
    <col min="384" max="384" width="17.5703125" bestFit="1" customWidth="1"/>
    <col min="385" max="385" width="21" bestFit="1" customWidth="1"/>
    <col min="386" max="386" width="36.28515625" bestFit="1" customWidth="1"/>
    <col min="387" max="387" width="8.5703125" bestFit="1" customWidth="1"/>
    <col min="388" max="388" width="5.28515625" bestFit="1" customWidth="1"/>
    <col min="389" max="389" width="36.28515625" bestFit="1" customWidth="1"/>
    <col min="390" max="390" width="8.5703125" bestFit="1" customWidth="1"/>
    <col min="391" max="391" width="5.28515625" bestFit="1" customWidth="1"/>
    <col min="392" max="392" width="36.28515625" bestFit="1" customWidth="1"/>
    <col min="393" max="393" width="8.5703125" bestFit="1" customWidth="1"/>
    <col min="394" max="394" width="17.5703125" bestFit="1" customWidth="1"/>
    <col min="395" max="395" width="21" bestFit="1" customWidth="1"/>
    <col min="396" max="396" width="34.42578125" customWidth="1"/>
    <col min="397" max="397" width="36.28515625" bestFit="1" customWidth="1"/>
    <col min="398" max="398" width="8.5703125" bestFit="1" customWidth="1"/>
    <col min="399" max="399" width="11.140625" customWidth="1"/>
    <col min="400" max="400" width="5.28515625" bestFit="1" customWidth="1"/>
    <col min="401" max="401" width="33.140625" bestFit="1" customWidth="1"/>
    <col min="402" max="402" width="8.5703125" bestFit="1" customWidth="1"/>
    <col min="403" max="403" width="36.28515625" bestFit="1" customWidth="1"/>
    <col min="404" max="404" width="17.28515625" bestFit="1" customWidth="1"/>
    <col min="405" max="405" width="11.140625" bestFit="1" customWidth="1"/>
    <col min="406" max="406" width="7.5703125" customWidth="1"/>
    <col min="407" max="407" width="33.140625" bestFit="1" customWidth="1"/>
    <col min="408" max="408" width="8.5703125" bestFit="1" customWidth="1"/>
    <col min="409" max="409" width="17.5703125" bestFit="1" customWidth="1"/>
    <col min="410" max="410" width="21" bestFit="1" customWidth="1"/>
    <col min="411" max="411" width="34.42578125" bestFit="1" customWidth="1"/>
    <col min="412" max="412" width="11.140625" bestFit="1" customWidth="1"/>
    <col min="413" max="413" width="33.140625" bestFit="1" customWidth="1"/>
    <col min="414" max="414" width="8.28515625" bestFit="1" customWidth="1"/>
    <col min="415" max="415" width="17.5703125" bestFit="1" customWidth="1"/>
    <col min="416" max="416" width="21" bestFit="1" customWidth="1"/>
    <col min="417" max="417" width="33.140625" bestFit="1" customWidth="1"/>
    <col min="418" max="418" width="8.5703125" bestFit="1" customWidth="1"/>
    <col min="419" max="419" width="33.140625" bestFit="1" customWidth="1"/>
    <col min="420" max="420" width="8.5703125" bestFit="1" customWidth="1"/>
    <col min="421" max="421" width="33.140625" bestFit="1" customWidth="1"/>
    <col min="422" max="422" width="8.5703125" bestFit="1" customWidth="1"/>
    <col min="423" max="423" width="33.140625" bestFit="1" customWidth="1"/>
    <col min="424" max="424" width="8.5703125" bestFit="1" customWidth="1"/>
    <col min="425" max="425" width="33.140625" bestFit="1" customWidth="1"/>
    <col min="426" max="426" width="8.5703125" bestFit="1" customWidth="1"/>
    <col min="427" max="427" width="11.140625" bestFit="1" customWidth="1"/>
    <col min="428" max="428" width="7.5703125" bestFit="1" customWidth="1"/>
    <col min="429" max="429" width="17.5703125" bestFit="1" customWidth="1"/>
    <col min="430" max="430" width="36.28515625" bestFit="1" customWidth="1"/>
    <col min="431" max="431" width="8.5703125" bestFit="1" customWidth="1"/>
    <col min="432" max="432" width="25.85546875" bestFit="1" customWidth="1"/>
    <col min="433" max="433" width="37.7109375" bestFit="1" customWidth="1"/>
    <col min="434" max="434" width="36.28515625" customWidth="1"/>
    <col min="435" max="435" width="13.140625" bestFit="1" customWidth="1"/>
    <col min="436" max="436" width="33.140625" bestFit="1" customWidth="1"/>
    <col min="437" max="437" width="36.28515625" customWidth="1"/>
    <col min="438" max="438" width="8.28515625" bestFit="1" customWidth="1"/>
    <col min="439" max="439" width="33.140625" bestFit="1" customWidth="1"/>
    <col min="440" max="440" width="17.28515625" bestFit="1" customWidth="1"/>
    <col min="441" max="441" width="11.140625" bestFit="1" customWidth="1"/>
    <col min="442" max="442" width="36.28515625" bestFit="1" customWidth="1"/>
    <col min="443" max="443" width="8.28515625" bestFit="1" customWidth="1"/>
    <col min="444" max="444" width="19.5703125" bestFit="1" customWidth="1"/>
    <col min="445" max="445" width="32.140625" bestFit="1" customWidth="1"/>
    <col min="446" max="446" width="10.5703125" bestFit="1" customWidth="1"/>
    <col min="447" max="447" width="5.140625" bestFit="1" customWidth="1"/>
    <col min="448" max="448" width="34.28515625" bestFit="1" customWidth="1"/>
    <col min="449" max="449" width="7.85546875" bestFit="1" customWidth="1"/>
    <col min="450" max="450" width="7.5703125" bestFit="1" customWidth="1"/>
    <col min="451" max="451" width="17.5703125" bestFit="1" customWidth="1"/>
    <col min="452" max="452" width="36.28515625" bestFit="1" customWidth="1"/>
    <col min="453" max="453" width="8.5703125" bestFit="1" customWidth="1"/>
    <col min="454" max="454" width="34.42578125" bestFit="1" customWidth="1"/>
    <col min="455" max="455" width="11.140625" bestFit="1" customWidth="1"/>
    <col min="456" max="456" width="5.28515625" bestFit="1" customWidth="1"/>
    <col min="457" max="457" width="36.28515625" bestFit="1" customWidth="1"/>
    <col min="458" max="458" width="8.5703125" bestFit="1" customWidth="1"/>
    <col min="459" max="459" width="29.5703125" bestFit="1" customWidth="1"/>
    <col min="460" max="460" width="25.85546875" bestFit="1" customWidth="1"/>
    <col min="461" max="461" width="37.7109375" bestFit="1" customWidth="1"/>
    <col min="462" max="462" width="36.28515625" bestFit="1" customWidth="1"/>
    <col min="463" max="463" width="13.140625" bestFit="1" customWidth="1"/>
    <col min="464" max="464" width="33.140625" bestFit="1" customWidth="1"/>
    <col min="465" max="465" width="36.28515625" bestFit="1" customWidth="1"/>
    <col min="466" max="466" width="8.5703125" bestFit="1" customWidth="1"/>
    <col min="467" max="467" width="11.140625" bestFit="1" customWidth="1"/>
    <col min="468" max="468" width="7.5703125" bestFit="1" customWidth="1"/>
    <col min="469" max="469" width="17.5703125" bestFit="1" customWidth="1"/>
    <col min="470" max="470" width="21" bestFit="1" customWidth="1"/>
    <col min="471" max="471" width="36.28515625" bestFit="1" customWidth="1"/>
    <col min="472" max="472" width="8.5703125" bestFit="1" customWidth="1"/>
    <col min="473" max="473" width="29.5703125" bestFit="1" customWidth="1"/>
    <col min="474" max="474" width="25.85546875" bestFit="1" customWidth="1"/>
    <col min="475" max="475" width="37.7109375" customWidth="1"/>
    <col min="476" max="476" width="36.28515625" bestFit="1" customWidth="1"/>
    <col min="477" max="477" width="13.140625" bestFit="1" customWidth="1"/>
    <col min="478" max="478" width="33.140625" bestFit="1" customWidth="1"/>
    <col min="479" max="479" width="36.28515625" bestFit="1" customWidth="1"/>
    <col min="480" max="480" width="8.28515625" bestFit="1" customWidth="1"/>
    <col min="481" max="481" width="36.28515625" bestFit="1" customWidth="1"/>
    <col min="482" max="482" width="11.28515625" bestFit="1" customWidth="1"/>
    <col min="483" max="483" width="33.140625" bestFit="1" customWidth="1"/>
    <col min="484" max="484" width="17.28515625" bestFit="1" customWidth="1"/>
    <col min="485" max="485" width="11.140625" bestFit="1" customWidth="1"/>
    <col min="486" max="486" width="36.28515625" bestFit="1" customWidth="1"/>
    <col min="487" max="487" width="8.5703125" bestFit="1" customWidth="1"/>
    <col min="488" max="488" width="21" bestFit="1" customWidth="1"/>
    <col min="489" max="489" width="34.42578125" bestFit="1" customWidth="1"/>
    <col min="490" max="490" width="36.28515625" bestFit="1" customWidth="1"/>
    <col min="491" max="491" width="8.5703125" bestFit="1" customWidth="1"/>
    <col min="492" max="492" width="36.28515625" bestFit="1" customWidth="1"/>
    <col min="493" max="493" width="8.5703125" bestFit="1" customWidth="1"/>
    <col min="494" max="494" width="17.5703125" bestFit="1" customWidth="1"/>
    <col min="495" max="495" width="36.28515625" bestFit="1" customWidth="1"/>
    <col min="496" max="496" width="8.28515625" bestFit="1" customWidth="1"/>
    <col min="497" max="497" width="11.140625" bestFit="1" customWidth="1"/>
    <col min="498" max="499" width="5.28515625" bestFit="1" customWidth="1"/>
    <col min="500" max="500" width="36.28515625" bestFit="1" customWidth="1"/>
    <col min="501" max="501" width="8.5703125" bestFit="1" customWidth="1"/>
    <col min="502" max="502" width="36.5703125" bestFit="1" customWidth="1"/>
    <col min="503" max="503" width="30.7109375" bestFit="1" customWidth="1"/>
    <col min="504" max="504" width="37.7109375" bestFit="1" customWidth="1"/>
    <col min="505" max="505" width="36.28515625" bestFit="1" customWidth="1"/>
    <col min="506" max="506" width="33.140625" bestFit="1" customWidth="1"/>
    <col min="507" max="507" width="17.28515625" bestFit="1" customWidth="1"/>
    <col min="508" max="508" width="36.28515625" bestFit="1" customWidth="1"/>
    <col min="509" max="509" width="8.28515625" bestFit="1" customWidth="1"/>
    <col min="510" max="510" width="17.5703125" bestFit="1" customWidth="1"/>
    <col min="511" max="511" width="21" bestFit="1" customWidth="1"/>
    <col min="512" max="512" width="34.42578125" bestFit="1" customWidth="1"/>
    <col min="513" max="513" width="11.140625" bestFit="1" customWidth="1"/>
    <col min="514" max="515" width="5.28515625" bestFit="1" customWidth="1"/>
    <col min="516" max="516" width="36.28515625" bestFit="1" customWidth="1"/>
    <col min="517" max="517" width="8.5703125" bestFit="1" customWidth="1"/>
    <col min="518" max="518" width="17.5703125" bestFit="1" customWidth="1"/>
    <col min="519" max="519" width="21" bestFit="1" customWidth="1"/>
    <col min="520" max="520" width="36.28515625" bestFit="1" customWidth="1"/>
    <col min="521" max="521" width="8.28515625" bestFit="1" customWidth="1"/>
    <col min="522" max="522" width="33.140625" bestFit="1" customWidth="1"/>
    <col min="523" max="523" width="17.28515625" bestFit="1" customWidth="1"/>
    <col min="524" max="524" width="11.140625" bestFit="1" customWidth="1"/>
    <col min="525" max="525" width="36.28515625" bestFit="1" customWidth="1"/>
    <col min="526" max="526" width="8.28515625" bestFit="1" customWidth="1"/>
    <col min="527" max="527" width="21" bestFit="1" customWidth="1"/>
    <col min="528" max="528" width="34.42578125" bestFit="1" customWidth="1"/>
    <col min="529" max="529" width="11.140625" bestFit="1" customWidth="1"/>
    <col min="530" max="530" width="36.28515625" bestFit="1" customWidth="1"/>
    <col min="531" max="531" width="8.5703125" bestFit="1" customWidth="1"/>
    <col min="532" max="532" width="36.28515625" bestFit="1" customWidth="1"/>
    <col min="533" max="533" width="8.5703125" bestFit="1" customWidth="1"/>
    <col min="534" max="534" width="11.140625" bestFit="1" customWidth="1"/>
    <col min="535" max="535" width="7.5703125" bestFit="1" customWidth="1"/>
    <col min="536" max="536" width="17.5703125" bestFit="1" customWidth="1"/>
    <col min="537" max="537" width="36.28515625" bestFit="1" customWidth="1"/>
    <col min="538" max="538" width="8.28515625" bestFit="1" customWidth="1"/>
    <col min="539" max="539" width="36.28515625" bestFit="1" customWidth="1"/>
    <col min="540" max="540" width="8.5703125" bestFit="1" customWidth="1"/>
    <col min="541" max="541" width="34.42578125" bestFit="1" customWidth="1"/>
    <col min="542" max="542" width="11.140625" bestFit="1" customWidth="1"/>
    <col min="543" max="544" width="5.28515625" bestFit="1" customWidth="1"/>
    <col min="545" max="545" width="36.28515625" bestFit="1" customWidth="1"/>
    <col min="546" max="546" width="8.5703125" bestFit="1" customWidth="1"/>
    <col min="547" max="547" width="36.28515625" bestFit="1" customWidth="1"/>
    <col min="548" max="548" width="8.28515625" bestFit="1" customWidth="1"/>
    <col min="549" max="549" width="36.28515625" bestFit="1" customWidth="1"/>
    <col min="550" max="550" width="8.28515625" bestFit="1" customWidth="1"/>
    <col min="551" max="551" width="33.140625" bestFit="1" customWidth="1"/>
    <col min="552" max="552" width="17.28515625" bestFit="1" customWidth="1"/>
    <col min="553" max="553" width="11.140625" bestFit="1" customWidth="1"/>
    <col min="554" max="554" width="36.28515625" bestFit="1" customWidth="1"/>
    <col min="555" max="555" width="8.28515625" bestFit="1" customWidth="1"/>
    <col min="556" max="556" width="36.28515625" bestFit="1" customWidth="1"/>
    <col min="557" max="557" width="8.28515625" customWidth="1"/>
    <col min="558" max="558" width="17.28515625" bestFit="1" customWidth="1"/>
    <col min="559" max="559" width="17.5703125" bestFit="1" customWidth="1"/>
    <col min="560" max="560" width="21" bestFit="1" customWidth="1"/>
    <col min="561" max="561" width="34.42578125" bestFit="1" customWidth="1"/>
    <col min="562" max="562" width="11.140625" bestFit="1" customWidth="1"/>
    <col min="563" max="564" width="5.28515625" bestFit="1" customWidth="1"/>
    <col min="565" max="565" width="11.140625" bestFit="1" customWidth="1"/>
    <col min="566" max="566" width="7.5703125" bestFit="1" customWidth="1"/>
    <col min="567" max="567" width="17.5703125" bestFit="1" customWidth="1"/>
    <col min="568" max="568" width="21" bestFit="1" customWidth="1"/>
    <col min="569" max="569" width="11.140625" bestFit="1" customWidth="1"/>
    <col min="570" max="570" width="7.5703125" bestFit="1" customWidth="1"/>
    <col min="571" max="571" width="33.140625" bestFit="1" customWidth="1"/>
    <col min="572" max="572" width="36.28515625" bestFit="1" customWidth="1"/>
    <col min="573" max="573" width="8.5703125" bestFit="1" customWidth="1"/>
    <col min="574" max="574" width="17.28515625" bestFit="1" customWidth="1"/>
    <col min="575" max="575" width="11.140625" bestFit="1" customWidth="1"/>
    <col min="576" max="576" width="7.5703125" customWidth="1"/>
    <col min="577" max="577" width="17.5703125" customWidth="1"/>
    <col min="578" max="580" width="21" bestFit="1" customWidth="1"/>
    <col min="581" max="581" width="14.28515625" bestFit="1" customWidth="1"/>
    <col min="582" max="582" width="8.28515625" bestFit="1" customWidth="1"/>
    <col min="583" max="583" width="17.28515625" bestFit="1" customWidth="1"/>
    <col min="584" max="584" width="11.140625" bestFit="1" customWidth="1"/>
    <col min="585" max="585" width="7.5703125" bestFit="1" customWidth="1"/>
    <col min="586" max="586" width="17.5703125" bestFit="1" customWidth="1"/>
    <col min="587" max="587" width="21" bestFit="1" customWidth="1"/>
    <col min="588" max="588" width="34.42578125" bestFit="1" customWidth="1"/>
    <col min="589" max="589" width="11.140625" bestFit="1" customWidth="1"/>
    <col min="590" max="596" width="5.28515625" bestFit="1" customWidth="1"/>
    <col min="597" max="597" width="14.28515625" bestFit="1" customWidth="1"/>
    <col min="598" max="598" width="17.28515625" bestFit="1" customWidth="1"/>
    <col min="599" max="599" width="11.140625" bestFit="1" customWidth="1"/>
    <col min="600" max="600" width="7.5703125" bestFit="1" customWidth="1"/>
    <col min="601" max="601" width="17.5703125" bestFit="1" customWidth="1"/>
    <col min="602" max="602" width="21" bestFit="1" customWidth="1"/>
    <col min="603" max="603" width="34.42578125" bestFit="1" customWidth="1"/>
    <col min="604" max="604" width="11.140625" bestFit="1" customWidth="1"/>
    <col min="605" max="607" width="5.28515625" bestFit="1" customWidth="1"/>
    <col min="608" max="608" width="17.28515625" bestFit="1" customWidth="1"/>
    <col min="609" max="609" width="11.140625" bestFit="1" customWidth="1"/>
    <col min="610" max="610" width="7.5703125" bestFit="1" customWidth="1"/>
    <col min="611" max="611" width="17.5703125" bestFit="1" customWidth="1"/>
    <col min="612" max="612" width="21" bestFit="1" customWidth="1"/>
    <col min="613" max="613" width="34.42578125" bestFit="1" customWidth="1"/>
    <col min="614" max="614" width="11.140625" bestFit="1" customWidth="1"/>
    <col min="615" max="615" width="33.140625" bestFit="1" customWidth="1"/>
    <col min="616" max="616" width="36.28515625" bestFit="1" customWidth="1"/>
    <col min="617" max="617" width="8.5703125" bestFit="1" customWidth="1"/>
    <col min="618" max="618" width="17.28515625" bestFit="1" customWidth="1"/>
    <col min="619" max="619" width="11.140625" bestFit="1" customWidth="1"/>
    <col min="620" max="620" width="33.140625" bestFit="1" customWidth="1"/>
    <col min="621" max="621" width="36.28515625" bestFit="1" customWidth="1"/>
    <col min="622" max="622" width="33.140625" bestFit="1" customWidth="1"/>
    <col min="623" max="623" width="36.28515625" customWidth="1"/>
    <col min="624" max="624" width="11.28515625" bestFit="1" customWidth="1"/>
    <col min="625" max="625" width="8.5703125" bestFit="1" customWidth="1"/>
    <col min="626" max="626" width="33.140625" bestFit="1" customWidth="1"/>
    <col min="627" max="627" width="36.28515625" bestFit="1" customWidth="1"/>
    <col min="628" max="628" width="43.140625" bestFit="1" customWidth="1"/>
    <col min="629" max="629" width="36.28515625" customWidth="1"/>
    <col min="630" max="630" width="33.140625" bestFit="1" customWidth="1"/>
    <col min="631" max="631" width="36.28515625" customWidth="1"/>
    <col min="632" max="632" width="8.5703125" bestFit="1" customWidth="1"/>
    <col min="633" max="633" width="17.28515625" bestFit="1" customWidth="1"/>
    <col min="634" max="634" width="11.140625" bestFit="1" customWidth="1"/>
    <col min="635" max="635" width="7.5703125" bestFit="1" customWidth="1"/>
    <col min="636" max="636" width="14.7109375" bestFit="1" customWidth="1"/>
    <col min="637" max="637" width="14.28515625" customWidth="1"/>
    <col min="638" max="638" width="10.42578125" bestFit="1" customWidth="1"/>
    <col min="639" max="639" width="14.28515625" bestFit="1" customWidth="1"/>
    <col min="640" max="640" width="14.28515625" customWidth="1"/>
    <col min="641" max="647" width="11.140625" bestFit="1" customWidth="1"/>
    <col min="648" max="648" width="11.85546875" bestFit="1" customWidth="1"/>
    <col min="649" max="649" width="11.140625" bestFit="1" customWidth="1"/>
    <col min="650" max="678" width="12.140625" bestFit="1" customWidth="1"/>
    <col min="679" max="679" width="20.140625" bestFit="1" customWidth="1"/>
    <col min="680" max="680" width="9.42578125" bestFit="1" customWidth="1"/>
    <col min="681" max="681" width="11.140625" bestFit="1" customWidth="1"/>
    <col min="682" max="682" width="10.85546875" bestFit="1" customWidth="1"/>
    <col min="683" max="683" width="14.28515625" bestFit="1" customWidth="1"/>
    <col min="684" max="684" width="7.140625" bestFit="1" customWidth="1"/>
    <col min="685" max="685" width="11.5703125" bestFit="1" customWidth="1"/>
    <col min="686" max="686" width="14.7109375" bestFit="1" customWidth="1"/>
    <col min="687" max="687" width="13.5703125" bestFit="1" customWidth="1"/>
    <col min="688" max="688" width="16.5703125" bestFit="1" customWidth="1"/>
    <col min="689" max="689" width="21" bestFit="1" customWidth="1"/>
    <col min="690" max="690" width="26.85546875" bestFit="1" customWidth="1"/>
    <col min="691" max="691" width="31.28515625" bestFit="1" customWidth="1"/>
    <col min="692" max="692" width="26" bestFit="1" customWidth="1"/>
    <col min="693" max="693" width="30.42578125" bestFit="1" customWidth="1"/>
    <col min="694" max="694" width="14.28515625" bestFit="1" customWidth="1"/>
    <col min="695" max="695" width="8.42578125" bestFit="1" customWidth="1"/>
    <col min="696" max="696" width="24.42578125" bestFit="1" customWidth="1"/>
    <col min="697" max="697" width="10" bestFit="1" customWidth="1"/>
    <col min="698" max="698" width="23.5703125" bestFit="1" customWidth="1"/>
    <col min="699" max="699" width="10" bestFit="1" customWidth="1"/>
    <col min="700" max="700" width="38.85546875" bestFit="1" customWidth="1"/>
    <col min="701" max="707" width="12.42578125" bestFit="1" customWidth="1"/>
    <col min="708" max="708" width="17.7109375" bestFit="1" customWidth="1"/>
    <col min="709" max="716" width="12.42578125" bestFit="1" customWidth="1"/>
    <col min="717" max="717" width="17.7109375" bestFit="1" customWidth="1"/>
    <col min="718" max="718" width="12.42578125" bestFit="1" customWidth="1"/>
    <col min="719" max="719" width="21.42578125" customWidth="1"/>
    <col min="720" max="720" width="20.140625" bestFit="1" customWidth="1"/>
    <col min="721" max="721" width="9.42578125" bestFit="1" customWidth="1"/>
    <col min="722" max="722" width="11.140625" bestFit="1" customWidth="1"/>
    <col min="723" max="723" width="21.42578125" bestFit="1" customWidth="1"/>
    <col min="724" max="724" width="13.5703125" bestFit="1" customWidth="1"/>
    <col min="725" max="725" width="10.85546875" bestFit="1" customWidth="1"/>
    <col min="726" max="726" width="5.7109375" bestFit="1" customWidth="1"/>
    <col min="727" max="727" width="10.140625" bestFit="1" customWidth="1"/>
    <col min="728" max="728" width="13.28515625" bestFit="1" customWidth="1"/>
    <col min="729" max="729" width="5.7109375" bestFit="1" customWidth="1"/>
    <col min="730" max="730" width="12" bestFit="1" customWidth="1"/>
    <col min="731" max="731" width="13.28515625" bestFit="1" customWidth="1"/>
    <col min="732" max="732" width="10.28515625" bestFit="1" customWidth="1"/>
    <col min="733" max="733" width="14.7109375" bestFit="1" customWidth="1"/>
    <col min="734" max="734" width="18" bestFit="1" customWidth="1"/>
    <col min="735" max="735" width="16.5703125" bestFit="1" customWidth="1"/>
    <col min="736" max="736" width="21.140625" bestFit="1" customWidth="1"/>
    <col min="737" max="737" width="24.42578125" bestFit="1" customWidth="1"/>
    <col min="738" max="738" width="26.85546875" bestFit="1" customWidth="1"/>
    <col min="739" max="739" width="31.42578125" bestFit="1" customWidth="1"/>
    <col min="740" max="740" width="34.7109375" bestFit="1" customWidth="1"/>
    <col min="741" max="741" width="26" bestFit="1" customWidth="1"/>
    <col min="742" max="742" width="30.5703125" bestFit="1" customWidth="1"/>
    <col min="743" max="743" width="33.85546875" bestFit="1" customWidth="1"/>
    <col min="744" max="744" width="33.28515625" bestFit="1" customWidth="1"/>
    <col min="745" max="745" width="37.85546875" bestFit="1" customWidth="1"/>
    <col min="746" max="746" width="41.140625" bestFit="1" customWidth="1"/>
    <col min="747" max="747" width="38.85546875" bestFit="1" customWidth="1"/>
    <col min="748" max="754" width="12.42578125" bestFit="1" customWidth="1"/>
    <col min="755" max="755" width="17.7109375" bestFit="1" customWidth="1"/>
    <col min="756" max="763" width="12.42578125" bestFit="1" customWidth="1"/>
    <col min="764" max="764" width="17.7109375" bestFit="1" customWidth="1"/>
    <col min="765" max="765" width="12.42578125" bestFit="1" customWidth="1"/>
    <col min="766" max="766" width="21.42578125" bestFit="1" customWidth="1"/>
    <col min="767" max="767" width="20.140625" bestFit="1" customWidth="1"/>
    <col min="768" max="768" width="9.42578125" bestFit="1" customWidth="1"/>
    <col min="769" max="769" width="11.140625" bestFit="1" customWidth="1"/>
    <col min="770" max="770" width="21.42578125" bestFit="1" customWidth="1"/>
    <col min="771" max="771" width="13.5703125" bestFit="1" customWidth="1"/>
    <col min="772" max="772" width="13.85546875" bestFit="1" customWidth="1"/>
    <col min="773" max="773" width="5.7109375" bestFit="1" customWidth="1"/>
    <col min="774" max="774" width="10.140625" bestFit="1" customWidth="1"/>
    <col min="775" max="775" width="13.28515625" bestFit="1" customWidth="1"/>
    <col min="776" max="776" width="5.7109375" bestFit="1" customWidth="1"/>
    <col min="777" max="777" width="12" bestFit="1" customWidth="1"/>
    <col min="778" max="778" width="13.28515625" bestFit="1" customWidth="1"/>
    <col min="779" max="779" width="10.28515625" bestFit="1" customWidth="1"/>
    <col min="780" max="780" width="14.7109375" bestFit="1" customWidth="1"/>
    <col min="781" max="781" width="18" bestFit="1" customWidth="1"/>
    <col min="782" max="782" width="16.5703125" bestFit="1" customWidth="1"/>
    <col min="783" max="783" width="21.140625" bestFit="1" customWidth="1"/>
    <col min="784" max="784" width="24.42578125" bestFit="1" customWidth="1"/>
    <col min="785" max="785" width="26.85546875" bestFit="1" customWidth="1"/>
    <col min="786" max="786" width="31.42578125" bestFit="1" customWidth="1"/>
    <col min="787" max="787" width="34.7109375" bestFit="1" customWidth="1"/>
    <col min="788" max="788" width="26" bestFit="1" customWidth="1"/>
    <col min="789" max="789" width="30.5703125" bestFit="1" customWidth="1"/>
    <col min="790" max="790" width="33.85546875" bestFit="1" customWidth="1"/>
    <col min="791" max="791" width="33.28515625" bestFit="1" customWidth="1"/>
    <col min="792" max="792" width="37.85546875" bestFit="1" customWidth="1"/>
    <col min="793" max="793" width="41.140625" customWidth="1"/>
    <col min="794" max="794" width="33.85546875" bestFit="1" customWidth="1"/>
    <col min="795" max="795" width="33.28515625" bestFit="1" customWidth="1"/>
    <col min="796" max="796" width="41.140625" bestFit="1" customWidth="1"/>
    <col min="797" max="800" width="12.140625" bestFit="1" customWidth="1"/>
    <col min="801" max="808" width="12.140625" customWidth="1"/>
    <col min="809" max="814" width="12.140625" bestFit="1" customWidth="1"/>
    <col min="815" max="820" width="12.140625" customWidth="1"/>
    <col min="821" max="828" width="12.140625" bestFit="1" customWidth="1"/>
    <col min="829" max="829" width="15" bestFit="1" customWidth="1"/>
    <col min="830" max="831" width="12.140625" bestFit="1" customWidth="1"/>
    <col min="832" max="832" width="15.140625" bestFit="1" customWidth="1"/>
    <col min="833" max="833" width="18.7109375" bestFit="1" customWidth="1"/>
    <col min="834" max="834" width="31.5703125" bestFit="1" customWidth="1"/>
  </cols>
  <sheetData>
    <row r="1" spans="1:40" x14ac:dyDescent="0.25">
      <c r="A1" t="s">
        <v>0</v>
      </c>
      <c r="B1" t="s">
        <v>36</v>
      </c>
      <c r="C1" t="s">
        <v>37</v>
      </c>
      <c r="D1" t="s">
        <v>11</v>
      </c>
      <c r="E1" t="s">
        <v>17</v>
      </c>
      <c r="F1" t="s">
        <v>39</v>
      </c>
      <c r="G1" t="s">
        <v>40</v>
      </c>
      <c r="H1" t="s">
        <v>38</v>
      </c>
      <c r="I1" t="s">
        <v>12</v>
      </c>
      <c r="J1" t="s">
        <v>47</v>
      </c>
      <c r="K1" t="s">
        <v>124</v>
      </c>
      <c r="L1" t="s">
        <v>125</v>
      </c>
      <c r="M1" t="s">
        <v>126</v>
      </c>
      <c r="N1" t="s">
        <v>127</v>
      </c>
      <c r="O1" t="s">
        <v>418</v>
      </c>
      <c r="P1" t="s">
        <v>419</v>
      </c>
      <c r="Q1" t="s">
        <v>420</v>
      </c>
      <c r="R1" t="s">
        <v>421</v>
      </c>
      <c r="S1" t="s">
        <v>366</v>
      </c>
      <c r="T1" t="s">
        <v>367</v>
      </c>
      <c r="U1" t="s">
        <v>128</v>
      </c>
      <c r="V1" t="s">
        <v>129</v>
      </c>
      <c r="W1" t="s">
        <v>163</v>
      </c>
      <c r="X1" t="s">
        <v>164</v>
      </c>
      <c r="Y1" t="s">
        <v>48</v>
      </c>
      <c r="Z1" t="s">
        <v>49</v>
      </c>
      <c r="AA1" t="s">
        <v>130</v>
      </c>
      <c r="AB1" t="s">
        <v>131</v>
      </c>
      <c r="AC1" t="s">
        <v>165</v>
      </c>
      <c r="AD1" t="s">
        <v>166</v>
      </c>
      <c r="AE1" t="s">
        <v>422</v>
      </c>
      <c r="AF1" t="s">
        <v>423</v>
      </c>
      <c r="AG1" t="s">
        <v>88</v>
      </c>
      <c r="AH1" t="s">
        <v>89</v>
      </c>
      <c r="AI1" t="s">
        <v>240</v>
      </c>
      <c r="AJ1" t="s">
        <v>241</v>
      </c>
      <c r="AK1" t="s">
        <v>242</v>
      </c>
      <c r="AL1" t="s">
        <v>243</v>
      </c>
      <c r="AM1" t="s">
        <v>50</v>
      </c>
      <c r="AN1" t="s">
        <v>51</v>
      </c>
    </row>
    <row r="2" spans="1:40" x14ac:dyDescent="0.25">
      <c r="A2">
        <v>774</v>
      </c>
      <c r="B2" t="s">
        <v>251</v>
      </c>
      <c r="C2" t="s">
        <v>146</v>
      </c>
      <c r="D2" t="s">
        <v>22</v>
      </c>
      <c r="E2">
        <v>72</v>
      </c>
      <c r="F2">
        <v>4.5501388888888892</v>
      </c>
      <c r="G2">
        <v>327.61</v>
      </c>
      <c r="H2" s="2">
        <v>45207</v>
      </c>
      <c r="I2" t="s">
        <v>220</v>
      </c>
      <c r="J2" t="s">
        <v>55</v>
      </c>
      <c r="K2" t="s">
        <v>60</v>
      </c>
      <c r="L2" t="s">
        <v>60</v>
      </c>
      <c r="M2" t="s">
        <v>60</v>
      </c>
      <c r="N2" t="s">
        <v>60</v>
      </c>
      <c r="O2" t="s">
        <v>60</v>
      </c>
      <c r="P2" t="s">
        <v>60</v>
      </c>
      <c r="Q2" t="s">
        <v>60</v>
      </c>
      <c r="R2" t="s">
        <v>60</v>
      </c>
      <c r="S2" t="s">
        <v>60</v>
      </c>
      <c r="T2" t="s">
        <v>60</v>
      </c>
      <c r="U2" t="s">
        <v>424</v>
      </c>
      <c r="V2" t="s">
        <v>425</v>
      </c>
      <c r="W2" t="s">
        <v>60</v>
      </c>
      <c r="X2" t="s">
        <v>60</v>
      </c>
      <c r="Y2" t="s">
        <v>56</v>
      </c>
      <c r="Z2" t="s">
        <v>57</v>
      </c>
      <c r="AA2" t="s">
        <v>135</v>
      </c>
      <c r="AB2" t="s">
        <v>294</v>
      </c>
      <c r="AC2" t="s">
        <v>234</v>
      </c>
      <c r="AD2" t="s">
        <v>426</v>
      </c>
      <c r="AE2" t="s">
        <v>370</v>
      </c>
      <c r="AF2" t="s">
        <v>427</v>
      </c>
      <c r="AG2" t="s">
        <v>60</v>
      </c>
      <c r="AH2" t="s">
        <v>60</v>
      </c>
      <c r="AI2" t="s">
        <v>60</v>
      </c>
      <c r="AJ2" t="s">
        <v>60</v>
      </c>
      <c r="AK2" t="s">
        <v>60</v>
      </c>
      <c r="AL2" t="s">
        <v>60</v>
      </c>
      <c r="AM2" t="s">
        <v>58</v>
      </c>
      <c r="AN2" t="s">
        <v>59</v>
      </c>
    </row>
    <row r="3" spans="1:40" x14ac:dyDescent="0.25">
      <c r="A3">
        <v>631</v>
      </c>
      <c r="B3" t="s">
        <v>266</v>
      </c>
      <c r="C3" t="s">
        <v>182</v>
      </c>
      <c r="D3" t="s">
        <v>22</v>
      </c>
      <c r="E3">
        <v>41</v>
      </c>
      <c r="F3">
        <v>7.6999999999999993</v>
      </c>
      <c r="G3">
        <v>315.7</v>
      </c>
      <c r="H3" s="2">
        <v>45207</v>
      </c>
      <c r="I3" t="s">
        <v>265</v>
      </c>
      <c r="J3" t="s">
        <v>55</v>
      </c>
      <c r="K3" t="s">
        <v>135</v>
      </c>
      <c r="L3" t="s">
        <v>326</v>
      </c>
      <c r="M3" t="s">
        <v>428</v>
      </c>
      <c r="N3" t="s">
        <v>429</v>
      </c>
      <c r="O3" t="s">
        <v>60</v>
      </c>
      <c r="P3" t="s">
        <v>60</v>
      </c>
      <c r="Q3" t="s">
        <v>60</v>
      </c>
      <c r="R3" t="s">
        <v>60</v>
      </c>
      <c r="S3" t="s">
        <v>90</v>
      </c>
      <c r="T3" t="s">
        <v>327</v>
      </c>
      <c r="U3" t="s">
        <v>233</v>
      </c>
      <c r="V3" t="s">
        <v>328</v>
      </c>
      <c r="W3" t="s">
        <v>60</v>
      </c>
      <c r="X3" t="s">
        <v>60</v>
      </c>
      <c r="Y3" t="s">
        <v>56</v>
      </c>
      <c r="Z3" t="s">
        <v>57</v>
      </c>
      <c r="AA3" t="s">
        <v>60</v>
      </c>
      <c r="AB3" t="s">
        <v>60</v>
      </c>
      <c r="AC3" t="s">
        <v>60</v>
      </c>
      <c r="AD3" t="s">
        <v>60</v>
      </c>
      <c r="AE3" t="s">
        <v>60</v>
      </c>
      <c r="AF3" t="s">
        <v>60</v>
      </c>
      <c r="AG3" t="s">
        <v>428</v>
      </c>
      <c r="AH3" t="s">
        <v>430</v>
      </c>
      <c r="AI3" t="s">
        <v>133</v>
      </c>
      <c r="AJ3" t="s">
        <v>331</v>
      </c>
      <c r="AK3" t="s">
        <v>431</v>
      </c>
      <c r="AL3" t="s">
        <v>432</v>
      </c>
      <c r="AM3" t="s">
        <v>58</v>
      </c>
      <c r="AN3" t="s">
        <v>59</v>
      </c>
    </row>
    <row r="4" spans="1:40" x14ac:dyDescent="0.25">
      <c r="A4">
        <v>775</v>
      </c>
      <c r="B4" t="s">
        <v>329</v>
      </c>
      <c r="C4" t="s">
        <v>148</v>
      </c>
      <c r="D4" t="s">
        <v>22</v>
      </c>
      <c r="E4">
        <v>45.5</v>
      </c>
      <c r="F4">
        <v>7.7</v>
      </c>
      <c r="G4">
        <v>350.35</v>
      </c>
      <c r="H4" s="2">
        <v>45207</v>
      </c>
      <c r="I4" t="s">
        <v>264</v>
      </c>
      <c r="J4" t="s">
        <v>55</v>
      </c>
      <c r="K4" t="s">
        <v>386</v>
      </c>
      <c r="L4" t="s">
        <v>387</v>
      </c>
      <c r="M4" t="s">
        <v>362</v>
      </c>
      <c r="N4" t="s">
        <v>374</v>
      </c>
      <c r="O4" t="s">
        <v>60</v>
      </c>
      <c r="P4" t="s">
        <v>60</v>
      </c>
      <c r="Q4" t="s">
        <v>60</v>
      </c>
      <c r="R4" t="s">
        <v>60</v>
      </c>
      <c r="S4" t="s">
        <v>90</v>
      </c>
      <c r="T4" t="s">
        <v>327</v>
      </c>
      <c r="U4" t="s">
        <v>388</v>
      </c>
      <c r="V4" t="s">
        <v>389</v>
      </c>
      <c r="W4" t="s">
        <v>60</v>
      </c>
      <c r="X4" t="s">
        <v>60</v>
      </c>
      <c r="Y4" t="s">
        <v>56</v>
      </c>
      <c r="Z4" t="s">
        <v>57</v>
      </c>
      <c r="AA4" t="s">
        <v>60</v>
      </c>
      <c r="AB4" t="s">
        <v>60</v>
      </c>
      <c r="AC4" t="s">
        <v>60</v>
      </c>
      <c r="AD4" t="s">
        <v>60</v>
      </c>
      <c r="AE4" t="s">
        <v>60</v>
      </c>
      <c r="AF4" t="s">
        <v>60</v>
      </c>
      <c r="AG4" t="s">
        <v>362</v>
      </c>
      <c r="AH4" t="s">
        <v>375</v>
      </c>
      <c r="AI4" t="s">
        <v>431</v>
      </c>
      <c r="AJ4" t="s">
        <v>433</v>
      </c>
      <c r="AK4" t="s">
        <v>167</v>
      </c>
      <c r="AL4" t="s">
        <v>434</v>
      </c>
      <c r="AM4" t="s">
        <v>58</v>
      </c>
      <c r="AN4" t="s">
        <v>59</v>
      </c>
    </row>
    <row r="5" spans="1:40" x14ac:dyDescent="0.25">
      <c r="A5">
        <v>168</v>
      </c>
      <c r="B5" t="s">
        <v>15</v>
      </c>
      <c r="C5" t="s">
        <v>9</v>
      </c>
      <c r="D5" t="s">
        <v>22</v>
      </c>
      <c r="E5">
        <v>44.5</v>
      </c>
      <c r="F5">
        <v>7.6999999999999993</v>
      </c>
      <c r="G5">
        <v>342.65</v>
      </c>
      <c r="H5" s="2">
        <v>45207</v>
      </c>
      <c r="I5" t="s">
        <v>168</v>
      </c>
      <c r="J5" t="s">
        <v>76</v>
      </c>
      <c r="K5" t="s">
        <v>135</v>
      </c>
      <c r="L5" t="s">
        <v>390</v>
      </c>
      <c r="M5" t="s">
        <v>435</v>
      </c>
      <c r="N5" t="s">
        <v>436</v>
      </c>
      <c r="O5" t="s">
        <v>437</v>
      </c>
      <c r="P5" t="s">
        <v>438</v>
      </c>
      <c r="Q5" t="s">
        <v>437</v>
      </c>
      <c r="R5" t="s">
        <v>439</v>
      </c>
      <c r="S5" t="s">
        <v>167</v>
      </c>
      <c r="T5" t="s">
        <v>440</v>
      </c>
      <c r="U5" t="s">
        <v>233</v>
      </c>
      <c r="V5" t="s">
        <v>368</v>
      </c>
      <c r="W5" t="s">
        <v>60</v>
      </c>
      <c r="X5" t="s">
        <v>60</v>
      </c>
      <c r="Y5" t="s">
        <v>56</v>
      </c>
      <c r="Z5" t="s">
        <v>57</v>
      </c>
      <c r="AA5" t="s">
        <v>60</v>
      </c>
      <c r="AB5" t="s">
        <v>60</v>
      </c>
      <c r="AC5" t="s">
        <v>60</v>
      </c>
      <c r="AD5" t="s">
        <v>60</v>
      </c>
      <c r="AE5" t="s">
        <v>60</v>
      </c>
      <c r="AF5" t="s">
        <v>60</v>
      </c>
      <c r="AG5" t="s">
        <v>60</v>
      </c>
      <c r="AH5" t="s">
        <v>60</v>
      </c>
      <c r="AI5" t="s">
        <v>133</v>
      </c>
      <c r="AJ5" t="s">
        <v>331</v>
      </c>
      <c r="AK5" t="s">
        <v>431</v>
      </c>
      <c r="AL5" t="s">
        <v>432</v>
      </c>
      <c r="AM5" t="s">
        <v>58</v>
      </c>
      <c r="AN5" t="s">
        <v>59</v>
      </c>
    </row>
    <row r="6" spans="1:40" x14ac:dyDescent="0.25">
      <c r="A6">
        <v>665</v>
      </c>
      <c r="B6" t="s">
        <v>64</v>
      </c>
      <c r="C6" t="s">
        <v>217</v>
      </c>
      <c r="D6" t="s">
        <v>22</v>
      </c>
      <c r="E6">
        <v>48</v>
      </c>
      <c r="F6">
        <v>4.55</v>
      </c>
      <c r="G6">
        <v>218.4</v>
      </c>
      <c r="H6" s="2">
        <v>45207</v>
      </c>
      <c r="I6" t="s">
        <v>220</v>
      </c>
      <c r="J6" t="s">
        <v>55</v>
      </c>
      <c r="K6" t="s">
        <v>90</v>
      </c>
      <c r="L6" t="s">
        <v>441</v>
      </c>
      <c r="M6" t="s">
        <v>60</v>
      </c>
      <c r="N6" t="s">
        <v>60</v>
      </c>
      <c r="O6" t="s">
        <v>60</v>
      </c>
      <c r="P6" t="s">
        <v>60</v>
      </c>
      <c r="Q6" t="s">
        <v>60</v>
      </c>
      <c r="R6" t="s">
        <v>60</v>
      </c>
      <c r="S6" t="s">
        <v>90</v>
      </c>
      <c r="T6" t="s">
        <v>441</v>
      </c>
      <c r="U6" t="s">
        <v>424</v>
      </c>
      <c r="V6" t="s">
        <v>425</v>
      </c>
      <c r="W6" t="s">
        <v>60</v>
      </c>
      <c r="X6" t="s">
        <v>60</v>
      </c>
      <c r="Y6" t="s">
        <v>56</v>
      </c>
      <c r="Z6" t="s">
        <v>57</v>
      </c>
      <c r="AA6" t="s">
        <v>90</v>
      </c>
      <c r="AB6" t="s">
        <v>442</v>
      </c>
      <c r="AC6" t="s">
        <v>135</v>
      </c>
      <c r="AD6" t="s">
        <v>294</v>
      </c>
      <c r="AE6" t="s">
        <v>60</v>
      </c>
      <c r="AF6" t="s">
        <v>60</v>
      </c>
      <c r="AG6" t="s">
        <v>60</v>
      </c>
      <c r="AH6" t="s">
        <v>60</v>
      </c>
      <c r="AI6" t="s">
        <v>60</v>
      </c>
      <c r="AJ6" t="s">
        <v>60</v>
      </c>
      <c r="AK6" t="s">
        <v>60</v>
      </c>
      <c r="AL6" t="s">
        <v>60</v>
      </c>
      <c r="AM6" t="s">
        <v>58</v>
      </c>
      <c r="AN6" t="s">
        <v>59</v>
      </c>
    </row>
    <row r="7" spans="1:40" x14ac:dyDescent="0.25">
      <c r="A7">
        <v>736</v>
      </c>
      <c r="B7" t="s">
        <v>269</v>
      </c>
      <c r="C7" t="s">
        <v>78</v>
      </c>
      <c r="D7" t="s">
        <v>22</v>
      </c>
      <c r="E7">
        <v>36</v>
      </c>
      <c r="F7">
        <v>7.6999999999999993</v>
      </c>
      <c r="G7">
        <v>277.2</v>
      </c>
      <c r="H7" s="2">
        <v>45207</v>
      </c>
      <c r="I7" t="s">
        <v>264</v>
      </c>
      <c r="J7" t="s">
        <v>55</v>
      </c>
      <c r="K7" t="s">
        <v>386</v>
      </c>
      <c r="L7" t="s">
        <v>387</v>
      </c>
      <c r="M7" t="s">
        <v>443</v>
      </c>
      <c r="N7" t="s">
        <v>444</v>
      </c>
      <c r="O7" t="s">
        <v>60</v>
      </c>
      <c r="P7" t="s">
        <v>60</v>
      </c>
      <c r="Q7" t="s">
        <v>60</v>
      </c>
      <c r="R7" t="s">
        <v>60</v>
      </c>
      <c r="S7" t="s">
        <v>167</v>
      </c>
      <c r="T7" t="s">
        <v>445</v>
      </c>
      <c r="U7" t="s">
        <v>388</v>
      </c>
      <c r="V7" t="s">
        <v>389</v>
      </c>
      <c r="W7" t="s">
        <v>60</v>
      </c>
      <c r="X7" t="s">
        <v>60</v>
      </c>
      <c r="Y7" t="s">
        <v>56</v>
      </c>
      <c r="Z7" t="s">
        <v>57</v>
      </c>
      <c r="AA7" t="s">
        <v>60</v>
      </c>
      <c r="AB7" t="s">
        <v>60</v>
      </c>
      <c r="AC7" t="s">
        <v>60</v>
      </c>
      <c r="AD7" t="s">
        <v>60</v>
      </c>
      <c r="AE7" t="s">
        <v>60</v>
      </c>
      <c r="AF7" t="s">
        <v>60</v>
      </c>
      <c r="AG7" t="s">
        <v>443</v>
      </c>
      <c r="AH7" t="s">
        <v>446</v>
      </c>
      <c r="AI7" t="s">
        <v>239</v>
      </c>
      <c r="AJ7" t="s">
        <v>350</v>
      </c>
      <c r="AK7" t="s">
        <v>431</v>
      </c>
      <c r="AL7" t="s">
        <v>432</v>
      </c>
      <c r="AM7" t="s">
        <v>58</v>
      </c>
      <c r="AN7" t="s">
        <v>59</v>
      </c>
    </row>
    <row r="8" spans="1:40" x14ac:dyDescent="0.25">
      <c r="A8">
        <v>677</v>
      </c>
      <c r="B8" t="s">
        <v>136</v>
      </c>
      <c r="C8" t="s">
        <v>82</v>
      </c>
      <c r="D8" t="s">
        <v>22</v>
      </c>
      <c r="E8">
        <v>48</v>
      </c>
      <c r="F8">
        <v>10.15</v>
      </c>
      <c r="G8">
        <v>487.2</v>
      </c>
      <c r="H8" s="2">
        <v>45207</v>
      </c>
      <c r="I8" t="s">
        <v>132</v>
      </c>
      <c r="J8" t="s">
        <v>55</v>
      </c>
      <c r="K8" t="s">
        <v>90</v>
      </c>
      <c r="L8" t="s">
        <v>441</v>
      </c>
      <c r="M8" t="s">
        <v>60</v>
      </c>
      <c r="N8" t="s">
        <v>60</v>
      </c>
      <c r="O8" t="s">
        <v>60</v>
      </c>
      <c r="P8" t="s">
        <v>60</v>
      </c>
      <c r="Q8" t="s">
        <v>60</v>
      </c>
      <c r="R8" t="s">
        <v>60</v>
      </c>
      <c r="S8" t="s">
        <v>90</v>
      </c>
      <c r="T8" t="s">
        <v>441</v>
      </c>
      <c r="U8" t="s">
        <v>424</v>
      </c>
      <c r="V8" t="s">
        <v>425</v>
      </c>
      <c r="W8" t="s">
        <v>60</v>
      </c>
      <c r="X8" t="s">
        <v>60</v>
      </c>
      <c r="Y8" t="s">
        <v>56</v>
      </c>
      <c r="Z8" t="s">
        <v>57</v>
      </c>
      <c r="AA8" t="s">
        <v>90</v>
      </c>
      <c r="AB8" t="s">
        <v>442</v>
      </c>
      <c r="AC8" t="s">
        <v>135</v>
      </c>
      <c r="AD8" t="s">
        <v>294</v>
      </c>
      <c r="AE8" t="s">
        <v>60</v>
      </c>
      <c r="AF8" t="s">
        <v>60</v>
      </c>
      <c r="AG8" t="s">
        <v>60</v>
      </c>
      <c r="AH8" t="s">
        <v>60</v>
      </c>
      <c r="AI8" t="s">
        <v>60</v>
      </c>
      <c r="AJ8" t="s">
        <v>60</v>
      </c>
      <c r="AK8" t="s">
        <v>60</v>
      </c>
      <c r="AL8" t="s">
        <v>60</v>
      </c>
      <c r="AM8" t="s">
        <v>58</v>
      </c>
      <c r="AN8" t="s">
        <v>59</v>
      </c>
    </row>
    <row r="9" spans="1:40" x14ac:dyDescent="0.25">
      <c r="A9">
        <v>940</v>
      </c>
      <c r="B9" t="s">
        <v>369</v>
      </c>
      <c r="C9" t="s">
        <v>360</v>
      </c>
      <c r="D9" t="s">
        <v>22</v>
      </c>
      <c r="E9">
        <v>46.5</v>
      </c>
      <c r="F9">
        <v>7.7</v>
      </c>
      <c r="G9">
        <v>358.05</v>
      </c>
      <c r="H9" s="2">
        <v>45207</v>
      </c>
      <c r="I9" t="s">
        <v>168</v>
      </c>
      <c r="J9" t="s">
        <v>55</v>
      </c>
      <c r="K9" t="s">
        <v>135</v>
      </c>
      <c r="L9" t="s">
        <v>326</v>
      </c>
      <c r="M9" t="s">
        <v>447</v>
      </c>
      <c r="N9" t="s">
        <v>448</v>
      </c>
      <c r="O9" t="s">
        <v>60</v>
      </c>
      <c r="P9" t="s">
        <v>60</v>
      </c>
      <c r="Q9" t="s">
        <v>60</v>
      </c>
      <c r="R9" t="s">
        <v>60</v>
      </c>
      <c r="S9" t="s">
        <v>60</v>
      </c>
      <c r="T9" t="s">
        <v>60</v>
      </c>
      <c r="U9" t="s">
        <v>233</v>
      </c>
      <c r="V9" t="s">
        <v>328</v>
      </c>
      <c r="W9" t="s">
        <v>60</v>
      </c>
      <c r="X9" t="s">
        <v>60</v>
      </c>
      <c r="Y9" t="s">
        <v>56</v>
      </c>
      <c r="Z9" t="s">
        <v>57</v>
      </c>
      <c r="AA9" t="s">
        <v>60</v>
      </c>
      <c r="AB9" t="s">
        <v>60</v>
      </c>
      <c r="AC9" t="s">
        <v>60</v>
      </c>
      <c r="AD9" t="s">
        <v>60</v>
      </c>
      <c r="AE9" t="s">
        <v>60</v>
      </c>
      <c r="AF9" t="s">
        <v>60</v>
      </c>
      <c r="AG9" t="s">
        <v>447</v>
      </c>
      <c r="AH9" t="s">
        <v>449</v>
      </c>
      <c r="AI9" t="s">
        <v>431</v>
      </c>
      <c r="AJ9" t="s">
        <v>433</v>
      </c>
      <c r="AK9" t="s">
        <v>431</v>
      </c>
      <c r="AL9" t="s">
        <v>432</v>
      </c>
      <c r="AM9" t="s">
        <v>58</v>
      </c>
      <c r="AN9" t="s">
        <v>59</v>
      </c>
    </row>
    <row r="10" spans="1:40" x14ac:dyDescent="0.25">
      <c r="A10">
        <v>776</v>
      </c>
      <c r="B10" t="s">
        <v>283</v>
      </c>
      <c r="C10" t="s">
        <v>150</v>
      </c>
      <c r="D10" t="s">
        <v>22</v>
      </c>
      <c r="E10">
        <v>46</v>
      </c>
      <c r="F10">
        <v>7.7</v>
      </c>
      <c r="G10">
        <v>354.2</v>
      </c>
      <c r="H10" s="2">
        <v>45207</v>
      </c>
      <c r="I10" t="s">
        <v>168</v>
      </c>
      <c r="J10" t="s">
        <v>55</v>
      </c>
      <c r="K10" t="s">
        <v>135</v>
      </c>
      <c r="L10" t="s">
        <v>326</v>
      </c>
      <c r="M10" t="s">
        <v>362</v>
      </c>
      <c r="N10" t="s">
        <v>374</v>
      </c>
      <c r="O10" t="s">
        <v>60</v>
      </c>
      <c r="P10" t="s">
        <v>60</v>
      </c>
      <c r="Q10" t="s">
        <v>60</v>
      </c>
      <c r="R10" t="s">
        <v>60</v>
      </c>
      <c r="S10" t="s">
        <v>167</v>
      </c>
      <c r="T10" t="s">
        <v>445</v>
      </c>
      <c r="U10" t="s">
        <v>233</v>
      </c>
      <c r="V10" t="s">
        <v>328</v>
      </c>
      <c r="W10" t="s">
        <v>60</v>
      </c>
      <c r="X10" t="s">
        <v>60</v>
      </c>
      <c r="Y10" t="s">
        <v>56</v>
      </c>
      <c r="Z10" t="s">
        <v>57</v>
      </c>
      <c r="AA10" t="s">
        <v>60</v>
      </c>
      <c r="AB10" t="s">
        <v>60</v>
      </c>
      <c r="AC10" t="s">
        <v>60</v>
      </c>
      <c r="AD10" t="s">
        <v>60</v>
      </c>
      <c r="AE10" t="s">
        <v>60</v>
      </c>
      <c r="AF10" t="s">
        <v>60</v>
      </c>
      <c r="AG10" t="s">
        <v>362</v>
      </c>
      <c r="AH10" t="s">
        <v>375</v>
      </c>
      <c r="AI10" t="s">
        <v>133</v>
      </c>
      <c r="AJ10" t="s">
        <v>331</v>
      </c>
      <c r="AK10" t="s">
        <v>431</v>
      </c>
      <c r="AL10" t="s">
        <v>432</v>
      </c>
      <c r="AM10" t="s">
        <v>58</v>
      </c>
      <c r="AN10" t="s">
        <v>59</v>
      </c>
    </row>
    <row r="11" spans="1:40" x14ac:dyDescent="0.25">
      <c r="A11">
        <v>798</v>
      </c>
      <c r="B11" t="s">
        <v>226</v>
      </c>
      <c r="C11" t="s">
        <v>156</v>
      </c>
      <c r="D11" t="s">
        <v>22</v>
      </c>
      <c r="E11">
        <v>48</v>
      </c>
      <c r="F11">
        <v>7.7</v>
      </c>
      <c r="G11">
        <v>369.6</v>
      </c>
      <c r="H11" s="2">
        <v>45207</v>
      </c>
      <c r="I11" t="s">
        <v>168</v>
      </c>
      <c r="J11" t="s">
        <v>55</v>
      </c>
      <c r="K11" t="s">
        <v>60</v>
      </c>
      <c r="L11" t="s">
        <v>60</v>
      </c>
      <c r="M11" t="s">
        <v>169</v>
      </c>
      <c r="N11" t="s">
        <v>326</v>
      </c>
      <c r="O11" t="s">
        <v>60</v>
      </c>
      <c r="P11" t="s">
        <v>60</v>
      </c>
      <c r="Q11" t="s">
        <v>60</v>
      </c>
      <c r="R11" t="s">
        <v>60</v>
      </c>
      <c r="S11" t="s">
        <v>90</v>
      </c>
      <c r="T11" t="s">
        <v>327</v>
      </c>
      <c r="U11" t="s">
        <v>233</v>
      </c>
      <c r="V11" t="s">
        <v>328</v>
      </c>
      <c r="W11" t="s">
        <v>135</v>
      </c>
      <c r="X11" t="s">
        <v>332</v>
      </c>
      <c r="Y11" t="s">
        <v>56</v>
      </c>
      <c r="Z11" t="s">
        <v>57</v>
      </c>
      <c r="AA11" t="s">
        <v>60</v>
      </c>
      <c r="AB11" t="s">
        <v>60</v>
      </c>
      <c r="AC11" t="s">
        <v>60</v>
      </c>
      <c r="AD11" t="s">
        <v>60</v>
      </c>
      <c r="AE11" t="s">
        <v>60</v>
      </c>
      <c r="AF11" t="s">
        <v>60</v>
      </c>
      <c r="AG11" t="s">
        <v>169</v>
      </c>
      <c r="AH11" t="s">
        <v>330</v>
      </c>
      <c r="AI11" t="s">
        <v>133</v>
      </c>
      <c r="AJ11" t="s">
        <v>331</v>
      </c>
      <c r="AK11" t="s">
        <v>431</v>
      </c>
      <c r="AL11" t="s">
        <v>432</v>
      </c>
      <c r="AM11" t="s">
        <v>58</v>
      </c>
      <c r="AN11" t="s">
        <v>59</v>
      </c>
    </row>
    <row r="12" spans="1:40" x14ac:dyDescent="0.25">
      <c r="A12">
        <v>772</v>
      </c>
      <c r="B12" t="s">
        <v>333</v>
      </c>
      <c r="C12" t="s">
        <v>174</v>
      </c>
      <c r="D12" t="s">
        <v>22</v>
      </c>
      <c r="E12">
        <v>49.5</v>
      </c>
      <c r="F12">
        <v>7.6999999999999993</v>
      </c>
      <c r="G12">
        <v>381.15</v>
      </c>
      <c r="H12" s="2">
        <v>45207</v>
      </c>
      <c r="I12" t="s">
        <v>265</v>
      </c>
      <c r="J12" t="s">
        <v>55</v>
      </c>
      <c r="K12" t="s">
        <v>135</v>
      </c>
      <c r="L12" t="s">
        <v>326</v>
      </c>
      <c r="M12" t="s">
        <v>450</v>
      </c>
      <c r="N12" t="s">
        <v>451</v>
      </c>
      <c r="O12" t="s">
        <v>60</v>
      </c>
      <c r="P12" t="s">
        <v>60</v>
      </c>
      <c r="Q12" t="s">
        <v>60</v>
      </c>
      <c r="R12" t="s">
        <v>60</v>
      </c>
      <c r="S12" t="s">
        <v>90</v>
      </c>
      <c r="T12" t="s">
        <v>327</v>
      </c>
      <c r="U12" t="s">
        <v>233</v>
      </c>
      <c r="V12" t="s">
        <v>328</v>
      </c>
      <c r="W12" t="s">
        <v>60</v>
      </c>
      <c r="X12" t="s">
        <v>60</v>
      </c>
      <c r="Y12" t="s">
        <v>56</v>
      </c>
      <c r="Z12" t="s">
        <v>57</v>
      </c>
      <c r="AA12" t="s">
        <v>60</v>
      </c>
      <c r="AB12" t="s">
        <v>60</v>
      </c>
      <c r="AC12" t="s">
        <v>60</v>
      </c>
      <c r="AD12" t="s">
        <v>60</v>
      </c>
      <c r="AE12" t="s">
        <v>60</v>
      </c>
      <c r="AF12" t="s">
        <v>60</v>
      </c>
      <c r="AG12" t="s">
        <v>450</v>
      </c>
      <c r="AH12" t="s">
        <v>452</v>
      </c>
      <c r="AI12" t="s">
        <v>431</v>
      </c>
      <c r="AJ12" t="s">
        <v>433</v>
      </c>
      <c r="AK12" t="s">
        <v>167</v>
      </c>
      <c r="AL12" t="s">
        <v>434</v>
      </c>
      <c r="AM12" t="s">
        <v>58</v>
      </c>
      <c r="AN12" t="s">
        <v>59</v>
      </c>
    </row>
    <row r="13" spans="1:40" x14ac:dyDescent="0.25">
      <c r="A13">
        <v>894</v>
      </c>
      <c r="B13" t="s">
        <v>371</v>
      </c>
      <c r="C13" t="s">
        <v>358</v>
      </c>
      <c r="D13" t="s">
        <v>22</v>
      </c>
      <c r="E13">
        <v>45</v>
      </c>
      <c r="F13">
        <v>7.7</v>
      </c>
      <c r="G13">
        <v>346.5</v>
      </c>
      <c r="H13" s="2">
        <v>45207</v>
      </c>
      <c r="I13" t="s">
        <v>168</v>
      </c>
      <c r="J13" t="s">
        <v>55</v>
      </c>
      <c r="K13" t="s">
        <v>135</v>
      </c>
      <c r="L13" t="s">
        <v>326</v>
      </c>
      <c r="M13" t="s">
        <v>453</v>
      </c>
      <c r="N13" t="s">
        <v>454</v>
      </c>
      <c r="O13" t="s">
        <v>60</v>
      </c>
      <c r="P13" t="s">
        <v>60</v>
      </c>
      <c r="Q13" t="s">
        <v>60</v>
      </c>
      <c r="R13" t="s">
        <v>60</v>
      </c>
      <c r="S13" t="s">
        <v>167</v>
      </c>
      <c r="T13" t="s">
        <v>445</v>
      </c>
      <c r="U13" t="s">
        <v>233</v>
      </c>
      <c r="V13" t="s">
        <v>328</v>
      </c>
      <c r="W13" t="s">
        <v>60</v>
      </c>
      <c r="X13" t="s">
        <v>60</v>
      </c>
      <c r="Y13" t="s">
        <v>56</v>
      </c>
      <c r="Z13" t="s">
        <v>57</v>
      </c>
      <c r="AA13" t="s">
        <v>60</v>
      </c>
      <c r="AB13" t="s">
        <v>60</v>
      </c>
      <c r="AC13" t="s">
        <v>60</v>
      </c>
      <c r="AD13" t="s">
        <v>60</v>
      </c>
      <c r="AE13" t="s">
        <v>60</v>
      </c>
      <c r="AF13" t="s">
        <v>60</v>
      </c>
      <c r="AG13" t="s">
        <v>453</v>
      </c>
      <c r="AH13" t="s">
        <v>455</v>
      </c>
      <c r="AI13" t="s">
        <v>133</v>
      </c>
      <c r="AJ13" t="s">
        <v>331</v>
      </c>
      <c r="AK13" t="s">
        <v>431</v>
      </c>
      <c r="AL13" t="s">
        <v>432</v>
      </c>
      <c r="AM13" t="s">
        <v>58</v>
      </c>
      <c r="AN13" t="s">
        <v>59</v>
      </c>
    </row>
    <row r="14" spans="1:40" x14ac:dyDescent="0.25">
      <c r="A14">
        <v>255</v>
      </c>
      <c r="B14" t="s">
        <v>64</v>
      </c>
      <c r="C14" t="s">
        <v>189</v>
      </c>
      <c r="D14" t="s">
        <v>22</v>
      </c>
      <c r="E14">
        <v>72</v>
      </c>
      <c r="F14">
        <v>10.149999999999999</v>
      </c>
      <c r="G14">
        <v>730.8</v>
      </c>
      <c r="H14" s="2">
        <v>45207</v>
      </c>
      <c r="I14" t="s">
        <v>132</v>
      </c>
      <c r="J14" t="s">
        <v>55</v>
      </c>
      <c r="K14" t="s">
        <v>60</v>
      </c>
      <c r="L14" t="s">
        <v>60</v>
      </c>
      <c r="M14" t="s">
        <v>60</v>
      </c>
      <c r="N14" t="s">
        <v>60</v>
      </c>
      <c r="O14" t="s">
        <v>60</v>
      </c>
      <c r="P14" t="s">
        <v>60</v>
      </c>
      <c r="Q14" t="s">
        <v>60</v>
      </c>
      <c r="R14" t="s">
        <v>60</v>
      </c>
      <c r="S14" t="s">
        <v>90</v>
      </c>
      <c r="T14" t="s">
        <v>441</v>
      </c>
      <c r="U14" t="s">
        <v>424</v>
      </c>
      <c r="V14" t="s">
        <v>425</v>
      </c>
      <c r="W14" t="s">
        <v>60</v>
      </c>
      <c r="X14" t="s">
        <v>60</v>
      </c>
      <c r="Y14" t="s">
        <v>56</v>
      </c>
      <c r="Z14" t="s">
        <v>57</v>
      </c>
      <c r="AA14" t="s">
        <v>135</v>
      </c>
      <c r="AB14" t="s">
        <v>294</v>
      </c>
      <c r="AC14" t="s">
        <v>234</v>
      </c>
      <c r="AD14" t="s">
        <v>426</v>
      </c>
      <c r="AE14" t="s">
        <v>60</v>
      </c>
      <c r="AF14" t="s">
        <v>60</v>
      </c>
      <c r="AG14" t="s">
        <v>60</v>
      </c>
      <c r="AH14" t="s">
        <v>60</v>
      </c>
      <c r="AI14" t="s">
        <v>60</v>
      </c>
      <c r="AJ14" t="s">
        <v>60</v>
      </c>
      <c r="AK14" t="s">
        <v>60</v>
      </c>
      <c r="AL14" t="s">
        <v>60</v>
      </c>
      <c r="AM14" t="s">
        <v>58</v>
      </c>
      <c r="AN14" t="s">
        <v>59</v>
      </c>
    </row>
    <row r="15" spans="1:40" x14ac:dyDescent="0.25">
      <c r="A15">
        <v>246</v>
      </c>
      <c r="B15" t="s">
        <v>284</v>
      </c>
      <c r="C15" t="s">
        <v>282</v>
      </c>
      <c r="D15" t="s">
        <v>22</v>
      </c>
      <c r="E15">
        <v>48</v>
      </c>
      <c r="F15">
        <v>4.55</v>
      </c>
      <c r="G15">
        <v>218.4</v>
      </c>
      <c r="H15" s="2">
        <v>45207</v>
      </c>
      <c r="I15" t="s">
        <v>220</v>
      </c>
      <c r="J15" t="s">
        <v>55</v>
      </c>
      <c r="K15" t="s">
        <v>135</v>
      </c>
      <c r="L15" t="s">
        <v>296</v>
      </c>
      <c r="M15" t="s">
        <v>60</v>
      </c>
      <c r="N15" t="s">
        <v>60</v>
      </c>
      <c r="O15" t="s">
        <v>60</v>
      </c>
      <c r="P15" t="s">
        <v>60</v>
      </c>
      <c r="Q15" t="s">
        <v>60</v>
      </c>
      <c r="R15" t="s">
        <v>60</v>
      </c>
      <c r="S15" t="s">
        <v>90</v>
      </c>
      <c r="T15" t="s">
        <v>441</v>
      </c>
      <c r="U15" t="s">
        <v>233</v>
      </c>
      <c r="V15" t="s">
        <v>295</v>
      </c>
      <c r="W15" t="s">
        <v>60</v>
      </c>
      <c r="X15" t="s">
        <v>60</v>
      </c>
      <c r="Y15" t="s">
        <v>56</v>
      </c>
      <c r="Z15" t="s">
        <v>57</v>
      </c>
      <c r="AA15" t="s">
        <v>169</v>
      </c>
      <c r="AB15" t="s">
        <v>297</v>
      </c>
      <c r="AC15" t="s">
        <v>60</v>
      </c>
      <c r="AD15" t="s">
        <v>60</v>
      </c>
      <c r="AE15" t="s">
        <v>456</v>
      </c>
      <c r="AF15" t="s">
        <v>457</v>
      </c>
      <c r="AG15" t="s">
        <v>60</v>
      </c>
      <c r="AH15" t="s">
        <v>60</v>
      </c>
      <c r="AI15" t="s">
        <v>60</v>
      </c>
      <c r="AJ15" t="s">
        <v>60</v>
      </c>
      <c r="AK15" t="s">
        <v>60</v>
      </c>
      <c r="AL15" t="s">
        <v>60</v>
      </c>
      <c r="AM15" t="s">
        <v>58</v>
      </c>
      <c r="AN15" t="s">
        <v>59</v>
      </c>
    </row>
    <row r="16" spans="1:40" x14ac:dyDescent="0.25">
      <c r="A16">
        <v>790</v>
      </c>
      <c r="B16" t="s">
        <v>176</v>
      </c>
      <c r="C16" t="s">
        <v>111</v>
      </c>
      <c r="D16" t="s">
        <v>22</v>
      </c>
      <c r="E16">
        <v>48</v>
      </c>
      <c r="F16">
        <v>10.15</v>
      </c>
      <c r="G16">
        <v>487.2</v>
      </c>
      <c r="H16" s="2">
        <v>45207</v>
      </c>
      <c r="I16" t="s">
        <v>132</v>
      </c>
      <c r="J16" t="s">
        <v>55</v>
      </c>
      <c r="K16" t="s">
        <v>135</v>
      </c>
      <c r="L16" t="s">
        <v>296</v>
      </c>
      <c r="M16" t="s">
        <v>60</v>
      </c>
      <c r="N16" t="s">
        <v>60</v>
      </c>
      <c r="O16" t="s">
        <v>60</v>
      </c>
      <c r="P16" t="s">
        <v>60</v>
      </c>
      <c r="Q16" t="s">
        <v>60</v>
      </c>
      <c r="R16" t="s">
        <v>60</v>
      </c>
      <c r="S16" t="s">
        <v>60</v>
      </c>
      <c r="T16" t="s">
        <v>60</v>
      </c>
      <c r="U16" t="s">
        <v>233</v>
      </c>
      <c r="V16" t="s">
        <v>295</v>
      </c>
      <c r="W16" t="s">
        <v>60</v>
      </c>
      <c r="X16" t="s">
        <v>60</v>
      </c>
      <c r="Y16" t="s">
        <v>56</v>
      </c>
      <c r="Z16" t="s">
        <v>57</v>
      </c>
      <c r="AA16" t="s">
        <v>169</v>
      </c>
      <c r="AB16" t="s">
        <v>297</v>
      </c>
      <c r="AC16" t="s">
        <v>60</v>
      </c>
      <c r="AD16" t="s">
        <v>60</v>
      </c>
      <c r="AE16" t="s">
        <v>60</v>
      </c>
      <c r="AF16" t="s">
        <v>60</v>
      </c>
      <c r="AG16" t="s">
        <v>60</v>
      </c>
      <c r="AH16" t="s">
        <v>60</v>
      </c>
      <c r="AI16" t="s">
        <v>60</v>
      </c>
      <c r="AJ16" t="s">
        <v>60</v>
      </c>
      <c r="AK16" t="s">
        <v>60</v>
      </c>
      <c r="AL16" t="s">
        <v>60</v>
      </c>
      <c r="AM16" t="s">
        <v>58</v>
      </c>
      <c r="AN16" t="s">
        <v>59</v>
      </c>
    </row>
    <row r="17" spans="1:40" x14ac:dyDescent="0.25">
      <c r="A17">
        <v>794</v>
      </c>
      <c r="B17" t="s">
        <v>391</v>
      </c>
      <c r="C17" t="s">
        <v>325</v>
      </c>
      <c r="D17" t="s">
        <v>22</v>
      </c>
      <c r="E17">
        <v>56</v>
      </c>
      <c r="F17">
        <v>7.7</v>
      </c>
      <c r="G17">
        <v>431.2</v>
      </c>
      <c r="H17" s="2">
        <v>45207</v>
      </c>
      <c r="I17" t="s">
        <v>168</v>
      </c>
      <c r="J17" t="s">
        <v>55</v>
      </c>
      <c r="K17" t="s">
        <v>135</v>
      </c>
      <c r="L17" t="s">
        <v>326</v>
      </c>
      <c r="M17" t="s">
        <v>372</v>
      </c>
      <c r="N17" t="s">
        <v>373</v>
      </c>
      <c r="O17" t="s">
        <v>60</v>
      </c>
      <c r="P17" t="s">
        <v>60</v>
      </c>
      <c r="Q17" t="s">
        <v>60</v>
      </c>
      <c r="R17" t="s">
        <v>60</v>
      </c>
      <c r="S17" t="s">
        <v>90</v>
      </c>
      <c r="T17" t="s">
        <v>327</v>
      </c>
      <c r="U17" t="s">
        <v>233</v>
      </c>
      <c r="V17" t="s">
        <v>328</v>
      </c>
      <c r="W17" t="s">
        <v>60</v>
      </c>
      <c r="X17" t="s">
        <v>60</v>
      </c>
      <c r="Y17" t="s">
        <v>56</v>
      </c>
      <c r="Z17" t="s">
        <v>57</v>
      </c>
      <c r="AA17" t="s">
        <v>60</v>
      </c>
      <c r="AB17" t="s">
        <v>60</v>
      </c>
      <c r="AC17" t="s">
        <v>60</v>
      </c>
      <c r="AD17" t="s">
        <v>60</v>
      </c>
      <c r="AE17" t="s">
        <v>60</v>
      </c>
      <c r="AF17" t="s">
        <v>60</v>
      </c>
      <c r="AG17" t="s">
        <v>372</v>
      </c>
      <c r="AH17" t="s">
        <v>458</v>
      </c>
      <c r="AI17" t="s">
        <v>167</v>
      </c>
      <c r="AJ17" t="s">
        <v>459</v>
      </c>
      <c r="AK17" t="s">
        <v>167</v>
      </c>
      <c r="AL17" t="s">
        <v>434</v>
      </c>
      <c r="AM17" t="s">
        <v>58</v>
      </c>
      <c r="AN17" t="s">
        <v>59</v>
      </c>
    </row>
    <row r="18" spans="1:40" x14ac:dyDescent="0.25">
      <c r="A18">
        <v>667</v>
      </c>
      <c r="B18" t="s">
        <v>170</v>
      </c>
      <c r="C18" t="s">
        <v>348</v>
      </c>
      <c r="D18" t="s">
        <v>22</v>
      </c>
      <c r="E18">
        <v>48</v>
      </c>
      <c r="F18">
        <v>7.7</v>
      </c>
      <c r="G18">
        <v>369.6</v>
      </c>
      <c r="H18" s="2">
        <v>45207</v>
      </c>
      <c r="I18" t="s">
        <v>168</v>
      </c>
      <c r="J18" t="s">
        <v>55</v>
      </c>
      <c r="K18" t="s">
        <v>60</v>
      </c>
      <c r="L18" t="s">
        <v>60</v>
      </c>
      <c r="M18" t="s">
        <v>169</v>
      </c>
      <c r="N18" t="s">
        <v>326</v>
      </c>
      <c r="O18" t="s">
        <v>60</v>
      </c>
      <c r="P18" t="s">
        <v>60</v>
      </c>
      <c r="Q18" t="s">
        <v>60</v>
      </c>
      <c r="R18" t="s">
        <v>60</v>
      </c>
      <c r="S18" t="s">
        <v>90</v>
      </c>
      <c r="T18" t="s">
        <v>327</v>
      </c>
      <c r="U18" t="s">
        <v>233</v>
      </c>
      <c r="V18" t="s">
        <v>328</v>
      </c>
      <c r="W18" t="s">
        <v>135</v>
      </c>
      <c r="X18" t="s">
        <v>332</v>
      </c>
      <c r="Y18" t="s">
        <v>56</v>
      </c>
      <c r="Z18" t="s">
        <v>57</v>
      </c>
      <c r="AA18" t="s">
        <v>60</v>
      </c>
      <c r="AB18" t="s">
        <v>60</v>
      </c>
      <c r="AC18" t="s">
        <v>60</v>
      </c>
      <c r="AD18" t="s">
        <v>60</v>
      </c>
      <c r="AE18" t="s">
        <v>60</v>
      </c>
      <c r="AF18" t="s">
        <v>60</v>
      </c>
      <c r="AG18" t="s">
        <v>169</v>
      </c>
      <c r="AH18" t="s">
        <v>330</v>
      </c>
      <c r="AI18" t="s">
        <v>133</v>
      </c>
      <c r="AJ18" t="s">
        <v>331</v>
      </c>
      <c r="AK18" t="s">
        <v>431</v>
      </c>
      <c r="AL18" t="s">
        <v>432</v>
      </c>
      <c r="AM18" t="s">
        <v>58</v>
      </c>
      <c r="AN18" t="s">
        <v>59</v>
      </c>
    </row>
    <row r="19" spans="1:40" x14ac:dyDescent="0.25">
      <c r="A19">
        <v>836</v>
      </c>
      <c r="B19" t="s">
        <v>393</v>
      </c>
      <c r="C19" t="s">
        <v>178</v>
      </c>
      <c r="D19" t="s">
        <v>22</v>
      </c>
      <c r="E19">
        <v>8</v>
      </c>
      <c r="F19">
        <v>7.7</v>
      </c>
      <c r="G19">
        <v>61.6</v>
      </c>
      <c r="H19" s="2">
        <v>45207</v>
      </c>
      <c r="I19" t="s">
        <v>392</v>
      </c>
      <c r="J19" t="s">
        <v>55</v>
      </c>
      <c r="K19" t="s">
        <v>90</v>
      </c>
      <c r="L19" t="s">
        <v>460</v>
      </c>
      <c r="M19" t="s">
        <v>60</v>
      </c>
      <c r="N19" t="s">
        <v>60</v>
      </c>
      <c r="O19" t="s">
        <v>60</v>
      </c>
      <c r="P19" t="s">
        <v>60</v>
      </c>
      <c r="Q19" t="s">
        <v>60</v>
      </c>
      <c r="R19" t="s">
        <v>60</v>
      </c>
      <c r="S19" t="s">
        <v>60</v>
      </c>
      <c r="T19" t="s">
        <v>60</v>
      </c>
      <c r="U19" t="s">
        <v>461</v>
      </c>
      <c r="V19" t="s">
        <v>462</v>
      </c>
      <c r="W19" t="s">
        <v>60</v>
      </c>
      <c r="X19" t="s">
        <v>60</v>
      </c>
      <c r="Y19" t="s">
        <v>56</v>
      </c>
      <c r="Z19" t="s">
        <v>57</v>
      </c>
      <c r="AA19" t="s">
        <v>60</v>
      </c>
      <c r="AB19" t="s">
        <v>60</v>
      </c>
      <c r="AC19" t="s">
        <v>60</v>
      </c>
      <c r="AD19" t="s">
        <v>60</v>
      </c>
      <c r="AE19" t="s">
        <v>60</v>
      </c>
      <c r="AF19" t="s">
        <v>60</v>
      </c>
      <c r="AG19" t="s">
        <v>60</v>
      </c>
      <c r="AH19" t="s">
        <v>60</v>
      </c>
      <c r="AI19" t="s">
        <v>60</v>
      </c>
      <c r="AJ19" t="s">
        <v>60</v>
      </c>
      <c r="AK19" t="s">
        <v>57</v>
      </c>
      <c r="AL19" t="s">
        <v>463</v>
      </c>
      <c r="AM19" t="s">
        <v>58</v>
      </c>
      <c r="AN19" t="s">
        <v>59</v>
      </c>
    </row>
    <row r="20" spans="1:40" x14ac:dyDescent="0.25">
      <c r="A20">
        <v>115</v>
      </c>
      <c r="B20" t="s">
        <v>298</v>
      </c>
      <c r="C20" t="s">
        <v>293</v>
      </c>
      <c r="D20" t="s">
        <v>22</v>
      </c>
      <c r="E20">
        <v>56</v>
      </c>
      <c r="F20">
        <v>7.7</v>
      </c>
      <c r="G20">
        <v>431.2</v>
      </c>
      <c r="H20" s="2">
        <v>45207</v>
      </c>
      <c r="I20" t="s">
        <v>168</v>
      </c>
      <c r="J20" t="s">
        <v>55</v>
      </c>
      <c r="K20" t="s">
        <v>135</v>
      </c>
      <c r="L20" t="s">
        <v>326</v>
      </c>
      <c r="M20" t="s">
        <v>372</v>
      </c>
      <c r="N20" t="s">
        <v>373</v>
      </c>
      <c r="O20" t="s">
        <v>60</v>
      </c>
      <c r="P20" t="s">
        <v>60</v>
      </c>
      <c r="Q20" t="s">
        <v>60</v>
      </c>
      <c r="R20" t="s">
        <v>60</v>
      </c>
      <c r="S20" t="s">
        <v>464</v>
      </c>
      <c r="T20" t="s">
        <v>465</v>
      </c>
      <c r="U20" t="s">
        <v>233</v>
      </c>
      <c r="V20" t="s">
        <v>328</v>
      </c>
      <c r="W20" t="s">
        <v>60</v>
      </c>
      <c r="X20" t="s">
        <v>60</v>
      </c>
      <c r="Y20" t="s">
        <v>56</v>
      </c>
      <c r="Z20" t="s">
        <v>57</v>
      </c>
      <c r="AA20" t="s">
        <v>60</v>
      </c>
      <c r="AB20" t="s">
        <v>60</v>
      </c>
      <c r="AC20" t="s">
        <v>60</v>
      </c>
      <c r="AD20" t="s">
        <v>60</v>
      </c>
      <c r="AE20" t="s">
        <v>60</v>
      </c>
      <c r="AF20" t="s">
        <v>60</v>
      </c>
      <c r="AG20" t="s">
        <v>372</v>
      </c>
      <c r="AH20" t="s">
        <v>458</v>
      </c>
      <c r="AI20" t="s">
        <v>167</v>
      </c>
      <c r="AJ20" t="s">
        <v>459</v>
      </c>
      <c r="AK20" t="s">
        <v>167</v>
      </c>
      <c r="AL20" t="s">
        <v>434</v>
      </c>
      <c r="AM20" t="s">
        <v>58</v>
      </c>
      <c r="AN20" t="s">
        <v>59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D95FD-7798-4D43-9866-F0B075A231DD}">
  <sheetPr codeName="Sheet4">
    <tabColor theme="9"/>
  </sheetPr>
  <dimension ref="A1:BB19"/>
  <sheetViews>
    <sheetView workbookViewId="0">
      <selection sqref="A1:BB19"/>
    </sheetView>
  </sheetViews>
  <sheetFormatPr defaultRowHeight="15" x14ac:dyDescent="0.25"/>
  <cols>
    <col min="1" max="1" width="20.140625" bestFit="1" customWidth="1"/>
    <col min="2" max="3" width="11.85546875" bestFit="1" customWidth="1"/>
    <col min="4" max="4" width="24.42578125" bestFit="1" customWidth="1"/>
    <col min="5" max="5" width="7.140625" bestFit="1" customWidth="1"/>
    <col min="6" max="6" width="11.5703125" bestFit="1" customWidth="1"/>
    <col min="7" max="7" width="14.7109375" bestFit="1" customWidth="1"/>
    <col min="8" max="8" width="10.85546875" style="2" bestFit="1" customWidth="1"/>
    <col min="9" max="9" width="13.5703125" bestFit="1" customWidth="1"/>
    <col min="10" max="10" width="20.7109375" bestFit="1" customWidth="1"/>
    <col min="11" max="11" width="21.42578125" bestFit="1" customWidth="1"/>
    <col min="12" max="12" width="19.140625" bestFit="1" customWidth="1"/>
    <col min="13" max="13" width="20" bestFit="1" customWidth="1"/>
    <col min="14" max="14" width="17.7109375" bestFit="1" customWidth="1"/>
    <col min="15" max="15" width="20.42578125" bestFit="1" customWidth="1"/>
    <col min="16" max="16" width="18.140625" bestFit="1" customWidth="1"/>
    <col min="17" max="17" width="28" bestFit="1" customWidth="1"/>
    <col min="18" max="18" width="25.7109375" bestFit="1" customWidth="1"/>
    <col min="19" max="19" width="18" bestFit="1" customWidth="1"/>
    <col min="20" max="20" width="15.85546875" bestFit="1" customWidth="1"/>
    <col min="21" max="21" width="17" bestFit="1" customWidth="1"/>
    <col min="22" max="22" width="14.7109375" bestFit="1" customWidth="1"/>
    <col min="23" max="23" width="23" bestFit="1" customWidth="1"/>
    <col min="24" max="24" width="20.85546875" bestFit="1" customWidth="1"/>
    <col min="25" max="26" width="13.140625" bestFit="1" customWidth="1"/>
    <col min="27" max="27" width="20" bestFit="1" customWidth="1"/>
    <col min="28" max="28" width="17.7109375" bestFit="1" customWidth="1"/>
    <col min="29" max="29" width="20.42578125" bestFit="1" customWidth="1"/>
    <col min="30" max="30" width="18.140625" bestFit="1" customWidth="1"/>
    <col min="31" max="31" width="20.7109375" bestFit="1" customWidth="1"/>
    <col min="32" max="32" width="18.42578125" bestFit="1" customWidth="1"/>
    <col min="33" max="33" width="42.28515625" bestFit="1" customWidth="1"/>
    <col min="34" max="34" width="40" bestFit="1" customWidth="1"/>
    <col min="35" max="35" width="32.85546875" bestFit="1" customWidth="1"/>
    <col min="36" max="36" width="29.140625" bestFit="1" customWidth="1"/>
    <col min="37" max="37" width="32" bestFit="1" customWidth="1"/>
    <col min="38" max="38" width="27.28515625" bestFit="1" customWidth="1"/>
    <col min="39" max="39" width="32.7109375" bestFit="1" customWidth="1"/>
    <col min="40" max="40" width="28.140625" bestFit="1" customWidth="1"/>
    <col min="41" max="41" width="40" bestFit="1" customWidth="1"/>
    <col min="42" max="42" width="36.42578125" bestFit="1" customWidth="1"/>
    <col min="43" max="43" width="33.140625" bestFit="1" customWidth="1"/>
    <col min="44" max="44" width="15.42578125" bestFit="1" customWidth="1"/>
    <col min="45" max="45" width="13.140625" bestFit="1" customWidth="1"/>
    <col min="46" max="46" width="8.5703125" bestFit="1" customWidth="1"/>
    <col min="47" max="47" width="17.28515625" bestFit="1" customWidth="1"/>
    <col min="48" max="48" width="11.140625" bestFit="1" customWidth="1"/>
    <col min="49" max="49" width="7.5703125" bestFit="1" customWidth="1"/>
    <col min="50" max="50" width="17.5703125" customWidth="1"/>
    <col min="51" max="51" width="18.28515625" bestFit="1" customWidth="1"/>
    <col min="52" max="52" width="16" bestFit="1" customWidth="1"/>
    <col min="53" max="53" width="26.42578125" bestFit="1" customWidth="1"/>
    <col min="54" max="54" width="24.28515625" bestFit="1" customWidth="1"/>
    <col min="55" max="55" width="21" bestFit="1" customWidth="1"/>
    <col min="56" max="56" width="34.42578125" bestFit="1" customWidth="1"/>
    <col min="57" max="57" width="18.28515625" bestFit="1" customWidth="1"/>
    <col min="58" max="58" width="16" bestFit="1" customWidth="1"/>
    <col min="59" max="59" width="26.42578125" bestFit="1" customWidth="1"/>
    <col min="60" max="60" width="24.28515625" bestFit="1" customWidth="1"/>
    <col min="61" max="61" width="13.140625" bestFit="1" customWidth="1"/>
    <col min="62" max="62" width="8.5703125" bestFit="1" customWidth="1"/>
    <col min="63" max="63" width="17.28515625" bestFit="1" customWidth="1"/>
    <col min="64" max="64" width="11.140625" bestFit="1" customWidth="1"/>
    <col min="65" max="65" width="18.28515625" bestFit="1" customWidth="1"/>
    <col min="66" max="66" width="16" bestFit="1" customWidth="1"/>
    <col min="67" max="67" width="26.42578125" bestFit="1" customWidth="1"/>
    <col min="68" max="68" width="24.28515625" bestFit="1" customWidth="1"/>
    <col min="69" max="69" width="18.7109375" bestFit="1" customWidth="1"/>
    <col min="70" max="70" width="27.42578125" bestFit="1" customWidth="1"/>
    <col min="71" max="71" width="27.140625" bestFit="1" customWidth="1"/>
    <col min="72" max="72" width="11.140625" customWidth="1"/>
    <col min="73" max="74" width="5.28515625" bestFit="1" customWidth="1"/>
    <col min="75" max="75" width="18.28515625" bestFit="1" customWidth="1"/>
    <col min="76" max="76" width="16" bestFit="1" customWidth="1"/>
    <col min="77" max="77" width="26.42578125" bestFit="1" customWidth="1"/>
    <col min="78" max="78" width="24.28515625" bestFit="1" customWidth="1"/>
    <col min="79" max="79" width="7.5703125" bestFit="1" customWidth="1"/>
    <col min="80" max="80" width="17.5703125" bestFit="1" customWidth="1"/>
    <col min="81" max="81" width="21" bestFit="1" customWidth="1"/>
    <col min="82" max="82" width="18.28515625" bestFit="1" customWidth="1"/>
    <col min="83" max="83" width="16" bestFit="1" customWidth="1"/>
    <col min="84" max="84" width="26.42578125" bestFit="1" customWidth="1"/>
    <col min="85" max="85" width="24.28515625" bestFit="1" customWidth="1"/>
    <col min="86" max="86" width="26.42578125" bestFit="1" customWidth="1"/>
    <col min="87" max="87" width="24.28515625" bestFit="1" customWidth="1"/>
    <col min="88" max="88" width="8.5703125" bestFit="1" customWidth="1"/>
    <col min="89" max="89" width="17.28515625" bestFit="1" customWidth="1"/>
    <col min="90" max="90" width="18.28515625" bestFit="1" customWidth="1"/>
    <col min="91" max="91" width="16" bestFit="1" customWidth="1"/>
    <col min="92" max="92" width="26.42578125" bestFit="1" customWidth="1"/>
    <col min="93" max="93" width="24.28515625" bestFit="1" customWidth="1"/>
    <col min="94" max="94" width="8.5703125" bestFit="1" customWidth="1"/>
    <col min="95" max="95" width="17.28515625" bestFit="1" customWidth="1"/>
    <col min="96" max="96" width="11.140625" bestFit="1" customWidth="1"/>
    <col min="97" max="97" width="7.5703125" bestFit="1" customWidth="1"/>
    <col min="98" max="98" width="18.28515625" bestFit="1" customWidth="1"/>
    <col min="99" max="99" width="16" bestFit="1" customWidth="1"/>
    <col min="100" max="100" width="26.42578125" bestFit="1" customWidth="1"/>
    <col min="101" max="102" width="24.28515625" bestFit="1" customWidth="1"/>
    <col min="103" max="103" width="8.5703125" bestFit="1" customWidth="1"/>
    <col min="104" max="104" width="17.28515625" bestFit="1" customWidth="1"/>
    <col min="105" max="105" width="18.28515625" bestFit="1" customWidth="1"/>
    <col min="106" max="106" width="16" bestFit="1" customWidth="1"/>
    <col min="107" max="107" width="26.42578125" bestFit="1" customWidth="1"/>
    <col min="108" max="108" width="24.28515625" bestFit="1" customWidth="1"/>
    <col min="109" max="109" width="17.5703125" bestFit="1" customWidth="1"/>
    <col min="110" max="110" width="21.85546875" bestFit="1" customWidth="1"/>
    <col min="111" max="111" width="21" bestFit="1" customWidth="1"/>
    <col min="112" max="112" width="18.28515625" bestFit="1" customWidth="1"/>
    <col min="113" max="113" width="16" bestFit="1" customWidth="1"/>
    <col min="114" max="114" width="26.42578125" bestFit="1" customWidth="1"/>
    <col min="115" max="115" width="24.28515625" bestFit="1" customWidth="1"/>
    <col min="116" max="116" width="26.42578125" bestFit="1" customWidth="1"/>
    <col min="117" max="117" width="24.28515625" bestFit="1" customWidth="1"/>
    <col min="118" max="118" width="16" bestFit="1" customWidth="1"/>
    <col min="119" max="119" width="26.42578125" bestFit="1" customWidth="1"/>
    <col min="120" max="120" width="24.28515625" bestFit="1" customWidth="1"/>
    <col min="121" max="121" width="34.42578125" bestFit="1" customWidth="1"/>
    <col min="122" max="122" width="18.28515625" bestFit="1" customWidth="1"/>
    <col min="123" max="123" width="16" bestFit="1" customWidth="1"/>
    <col min="124" max="124" width="26.42578125" bestFit="1" customWidth="1"/>
    <col min="125" max="125" width="24.28515625" bestFit="1" customWidth="1"/>
    <col min="126" max="126" width="11.140625" bestFit="1" customWidth="1"/>
    <col min="127" max="127" width="7.5703125" bestFit="1" customWidth="1"/>
    <col min="128" max="128" width="17.5703125" customWidth="1"/>
    <col min="129" max="129" width="18.28515625" bestFit="1" customWidth="1"/>
    <col min="130" max="130" width="16" bestFit="1" customWidth="1"/>
    <col min="131" max="131" width="26.42578125" bestFit="1" customWidth="1"/>
    <col min="132" max="132" width="24.28515625" bestFit="1" customWidth="1"/>
    <col min="133" max="133" width="21.85546875" bestFit="1" customWidth="1"/>
    <col min="134" max="134" width="21" bestFit="1" customWidth="1"/>
    <col min="135" max="135" width="34.42578125" bestFit="1" customWidth="1"/>
    <col min="136" max="136" width="18.28515625" bestFit="1" customWidth="1"/>
    <col min="137" max="137" width="16" bestFit="1" customWidth="1"/>
    <col min="138" max="138" width="26.42578125" bestFit="1" customWidth="1"/>
    <col min="139" max="139" width="24.28515625" bestFit="1" customWidth="1"/>
    <col min="140" max="140" width="11.140625" bestFit="1" customWidth="1"/>
    <col min="141" max="141" width="7.5703125" bestFit="1" customWidth="1"/>
    <col min="142" max="142" width="17.5703125" customWidth="1"/>
    <col min="143" max="143" width="18.28515625" bestFit="1" customWidth="1"/>
    <col min="144" max="144" width="16" bestFit="1" customWidth="1"/>
    <col min="145" max="145" width="26.42578125" bestFit="1" customWidth="1"/>
    <col min="146" max="146" width="24.28515625" bestFit="1" customWidth="1"/>
    <col min="147" max="147" width="21.85546875" bestFit="1" customWidth="1"/>
    <col min="148" max="148" width="18.28515625" bestFit="1" customWidth="1"/>
    <col min="149" max="149" width="16" bestFit="1" customWidth="1"/>
    <col min="150" max="150" width="26.42578125" bestFit="1" customWidth="1"/>
    <col min="151" max="151" width="24.28515625" bestFit="1" customWidth="1"/>
    <col min="152" max="152" width="26.42578125" bestFit="1" customWidth="1"/>
    <col min="153" max="153" width="24.28515625" bestFit="1" customWidth="1"/>
    <col min="154" max="154" width="8.5703125" bestFit="1" customWidth="1"/>
    <col min="155" max="155" width="17.28515625" bestFit="1" customWidth="1"/>
    <col min="156" max="156" width="18.28515625" bestFit="1" customWidth="1"/>
    <col min="157" max="157" width="16" bestFit="1" customWidth="1"/>
    <col min="158" max="158" width="26.42578125" bestFit="1" customWidth="1"/>
    <col min="159" max="159" width="24.28515625" bestFit="1" customWidth="1"/>
    <col min="160" max="160" width="16" bestFit="1" customWidth="1"/>
    <col min="161" max="161" width="26.42578125" bestFit="1" customWidth="1"/>
    <col min="162" max="162" width="24.28515625" bestFit="1" customWidth="1"/>
    <col min="163" max="163" width="18.28515625" bestFit="1" customWidth="1"/>
    <col min="164" max="164" width="16" bestFit="1" customWidth="1"/>
    <col min="165" max="165" width="26.42578125" bestFit="1" customWidth="1"/>
    <col min="166" max="166" width="24.28515625" bestFit="1" customWidth="1"/>
    <col min="167" max="167" width="26.42578125" bestFit="1" customWidth="1"/>
    <col min="168" max="168" width="24.28515625" bestFit="1" customWidth="1"/>
    <col min="169" max="169" width="8.5703125" bestFit="1" customWidth="1"/>
    <col min="170" max="170" width="17.28515625" bestFit="1" customWidth="1"/>
    <col min="171" max="171" width="18.28515625" bestFit="1" customWidth="1"/>
    <col min="172" max="172" width="16" bestFit="1" customWidth="1"/>
    <col min="173" max="173" width="26.42578125" bestFit="1" customWidth="1"/>
    <col min="174" max="174" width="24.28515625" bestFit="1" customWidth="1"/>
    <col min="175" max="175" width="21" bestFit="1" customWidth="1"/>
    <col min="176" max="176" width="34.42578125" bestFit="1" customWidth="1"/>
    <col min="177" max="177" width="18.7109375" bestFit="1" customWidth="1"/>
    <col min="178" max="178" width="11.140625" bestFit="1" customWidth="1"/>
    <col min="179" max="179" width="18.28515625" bestFit="1" customWidth="1"/>
    <col min="180" max="180" width="16" bestFit="1" customWidth="1"/>
    <col min="181" max="181" width="26.42578125" bestFit="1" customWidth="1"/>
    <col min="182" max="182" width="24.28515625" bestFit="1" customWidth="1"/>
    <col min="183" max="183" width="21" bestFit="1" customWidth="1"/>
    <col min="184" max="184" width="20.140625" bestFit="1" customWidth="1"/>
    <col min="185" max="185" width="17.5703125" bestFit="1" customWidth="1"/>
    <col min="186" max="186" width="15.42578125" bestFit="1" customWidth="1"/>
    <col min="187" max="187" width="25.42578125" bestFit="1" customWidth="1"/>
    <col min="188" max="188" width="23.28515625" bestFit="1" customWidth="1"/>
    <col min="189" max="189" width="10.7109375" bestFit="1" customWidth="1"/>
    <col min="190" max="190" width="5.140625" bestFit="1" customWidth="1"/>
    <col min="191" max="191" width="17.5703125" bestFit="1" customWidth="1"/>
    <col min="192" max="192" width="15.42578125" bestFit="1" customWidth="1"/>
    <col min="193" max="193" width="25.42578125" bestFit="1" customWidth="1"/>
    <col min="194" max="194" width="23.28515625" bestFit="1" customWidth="1"/>
    <col min="195" max="195" width="30.85546875" bestFit="1" customWidth="1"/>
    <col min="196" max="196" width="31.7109375" bestFit="1" customWidth="1"/>
    <col min="197" max="197" width="12.7109375" bestFit="1" customWidth="1"/>
    <col min="198" max="198" width="8.42578125" bestFit="1" customWidth="1"/>
    <col min="199" max="199" width="16.5703125" bestFit="1" customWidth="1"/>
    <col min="200" max="200" width="10.7109375" bestFit="1" customWidth="1"/>
    <col min="201" max="201" width="17.5703125" bestFit="1" customWidth="1"/>
    <col min="202" max="202" width="15.42578125" bestFit="1" customWidth="1"/>
    <col min="203" max="203" width="25.42578125" bestFit="1" customWidth="1"/>
    <col min="204" max="204" width="23.28515625" bestFit="1" customWidth="1"/>
    <col min="205" max="205" width="18.28515625" bestFit="1" customWidth="1"/>
    <col min="206" max="206" width="16" bestFit="1" customWidth="1"/>
    <col min="207" max="207" width="26.42578125" bestFit="1" customWidth="1"/>
    <col min="208" max="208" width="24.28515625" bestFit="1" customWidth="1"/>
    <col min="209" max="209" width="33.140625" bestFit="1" customWidth="1"/>
    <col min="210" max="210" width="13.140625" bestFit="1" customWidth="1"/>
    <col min="211" max="211" width="18.28515625" bestFit="1" customWidth="1"/>
    <col min="212" max="212" width="16" bestFit="1" customWidth="1"/>
    <col min="213" max="213" width="26.42578125" bestFit="1" customWidth="1"/>
    <col min="214" max="214" width="24.28515625" bestFit="1" customWidth="1"/>
    <col min="215" max="215" width="18.28515625" bestFit="1" customWidth="1"/>
    <col min="216" max="216" width="16" bestFit="1" customWidth="1"/>
    <col min="217" max="217" width="26.42578125" bestFit="1" customWidth="1"/>
    <col min="218" max="218" width="24.28515625" bestFit="1" customWidth="1"/>
    <col min="219" max="219" width="7.5703125" bestFit="1" customWidth="1"/>
    <col min="220" max="220" width="17.5703125" bestFit="1" customWidth="1"/>
    <col min="221" max="221" width="21.85546875" bestFit="1" customWidth="1"/>
    <col min="222" max="222" width="21" customWidth="1"/>
    <col min="223" max="223" width="18.28515625" bestFit="1" customWidth="1"/>
    <col min="224" max="224" width="16" bestFit="1" customWidth="1"/>
    <col min="225" max="225" width="26.42578125" bestFit="1" customWidth="1"/>
    <col min="226" max="226" width="24.28515625" bestFit="1" customWidth="1"/>
    <col min="227" max="227" width="34.42578125" bestFit="1" customWidth="1"/>
    <col min="228" max="228" width="18.28515625" bestFit="1" customWidth="1"/>
    <col min="229" max="229" width="16" bestFit="1" customWidth="1"/>
    <col min="230" max="230" width="26.42578125" bestFit="1" customWidth="1"/>
    <col min="231" max="231" width="24.28515625" bestFit="1" customWidth="1"/>
    <col min="232" max="232" width="11.140625" bestFit="1" customWidth="1"/>
    <col min="233" max="233" width="7.5703125" bestFit="1" customWidth="1"/>
    <col min="234" max="234" width="18.28515625" bestFit="1" customWidth="1"/>
    <col min="235" max="235" width="16" bestFit="1" customWidth="1"/>
    <col min="236" max="236" width="26.42578125" bestFit="1" customWidth="1"/>
    <col min="237" max="237" width="24.28515625" bestFit="1" customWidth="1"/>
    <col min="238" max="238" width="21" bestFit="1" customWidth="1"/>
    <col min="239" max="239" width="34.42578125" bestFit="1" customWidth="1"/>
    <col min="240" max="240" width="18.7109375" bestFit="1" customWidth="1"/>
    <col min="241" max="241" width="11.140625" bestFit="1" customWidth="1"/>
    <col min="242" max="242" width="18.28515625" bestFit="1" customWidth="1"/>
    <col min="243" max="243" width="16" bestFit="1" customWidth="1"/>
    <col min="244" max="244" width="26.42578125" bestFit="1" customWidth="1"/>
    <col min="245" max="245" width="24.28515625" bestFit="1" customWidth="1"/>
    <col min="246" max="246" width="18.28515625" bestFit="1" customWidth="1"/>
    <col min="247" max="247" width="16" bestFit="1" customWidth="1"/>
    <col min="248" max="248" width="26.42578125" bestFit="1" customWidth="1"/>
    <col min="249" max="249" width="24.28515625" bestFit="1" customWidth="1"/>
    <col min="250" max="250" width="18.28515625" bestFit="1" customWidth="1"/>
    <col min="251" max="251" width="16" bestFit="1" customWidth="1"/>
    <col min="252" max="252" width="26.42578125" bestFit="1" customWidth="1"/>
    <col min="253" max="253" width="24.28515625" bestFit="1" customWidth="1"/>
    <col min="254" max="254" width="26.42578125" bestFit="1" customWidth="1"/>
    <col min="255" max="255" width="24.28515625" bestFit="1" customWidth="1"/>
    <col min="256" max="259" width="5.28515625" bestFit="1" customWidth="1"/>
    <col min="260" max="260" width="18.28515625" bestFit="1" customWidth="1"/>
    <col min="261" max="261" width="16" bestFit="1" customWidth="1"/>
    <col min="262" max="262" width="26.42578125" bestFit="1" customWidth="1"/>
    <col min="263" max="263" width="24.28515625" bestFit="1" customWidth="1"/>
    <col min="264" max="264" width="26.42578125" bestFit="1" customWidth="1"/>
    <col min="265" max="265" width="24.28515625" bestFit="1" customWidth="1"/>
    <col min="266" max="266" width="26.42578125" bestFit="1" customWidth="1"/>
    <col min="267" max="267" width="24.28515625" bestFit="1" customWidth="1"/>
    <col min="268" max="268" width="11.140625" customWidth="1"/>
    <col min="269" max="269" width="7.5703125" bestFit="1" customWidth="1"/>
    <col min="270" max="270" width="17.5703125" bestFit="1" customWidth="1"/>
    <col min="271" max="271" width="21.85546875" bestFit="1" customWidth="1"/>
    <col min="272" max="272" width="18.28515625" bestFit="1" customWidth="1"/>
    <col min="273" max="273" width="16" bestFit="1" customWidth="1"/>
    <col min="274" max="274" width="26.42578125" bestFit="1" customWidth="1"/>
    <col min="275" max="275" width="24.28515625" bestFit="1" customWidth="1"/>
    <col min="276" max="279" width="5.28515625" bestFit="1" customWidth="1"/>
    <col min="280" max="280" width="18.28515625" bestFit="1" customWidth="1"/>
    <col min="281" max="281" width="16" bestFit="1" customWidth="1"/>
    <col min="282" max="282" width="26.42578125" bestFit="1" customWidth="1"/>
    <col min="283" max="283" width="24.28515625" bestFit="1" customWidth="1"/>
    <col min="284" max="284" width="33.140625" bestFit="1" customWidth="1"/>
    <col min="285" max="285" width="13.140625" bestFit="1" customWidth="1"/>
    <col min="286" max="286" width="8.5703125" bestFit="1" customWidth="1"/>
    <col min="287" max="287" width="17.28515625" bestFit="1" customWidth="1"/>
    <col min="288" max="288" width="11.140625" bestFit="1" customWidth="1"/>
    <col min="289" max="289" width="7.5703125" bestFit="1" customWidth="1"/>
    <col min="290" max="290" width="18.28515625" bestFit="1" customWidth="1"/>
    <col min="291" max="291" width="16" bestFit="1" customWidth="1"/>
    <col min="292" max="292" width="26.42578125" bestFit="1" customWidth="1"/>
    <col min="293" max="293" width="24.28515625" bestFit="1" customWidth="1"/>
    <col min="294" max="294" width="21" bestFit="1" customWidth="1"/>
    <col min="295" max="295" width="34.42578125" bestFit="1" customWidth="1"/>
    <col min="296" max="296" width="18.7109375" bestFit="1" customWidth="1"/>
    <col min="297" max="297" width="11.140625" bestFit="1" customWidth="1"/>
    <col min="298" max="298" width="18.28515625" bestFit="1" customWidth="1"/>
    <col min="299" max="299" width="16" bestFit="1" customWidth="1"/>
    <col min="300" max="300" width="26.42578125" bestFit="1" customWidth="1"/>
    <col min="301" max="301" width="24.28515625" customWidth="1"/>
    <col min="302" max="302" width="17.28515625" bestFit="1" customWidth="1"/>
    <col min="303" max="303" width="11.140625" bestFit="1" customWidth="1"/>
    <col min="304" max="304" width="6.5703125" bestFit="1" customWidth="1"/>
    <col min="305" max="305" width="17.5703125" bestFit="1" customWidth="1"/>
    <col min="306" max="306" width="21" bestFit="1" customWidth="1"/>
    <col min="307" max="307" width="34.42578125" bestFit="1" customWidth="1"/>
    <col min="308" max="308" width="18.28515625" bestFit="1" customWidth="1"/>
    <col min="309" max="309" width="16" bestFit="1" customWidth="1"/>
    <col min="310" max="310" width="26.42578125" bestFit="1" customWidth="1"/>
    <col min="311" max="311" width="24.28515625" bestFit="1" customWidth="1"/>
    <col min="312" max="312" width="29.85546875" bestFit="1" customWidth="1"/>
    <col min="313" max="313" width="28.7109375" bestFit="1" customWidth="1"/>
    <col min="314" max="314" width="24.140625" bestFit="1" customWidth="1"/>
    <col min="315" max="315" width="36.5703125" bestFit="1" customWidth="1"/>
    <col min="316" max="316" width="30.7109375" bestFit="1" customWidth="1"/>
    <col min="317" max="317" width="29.5703125" bestFit="1" customWidth="1"/>
    <col min="318" max="318" width="25.85546875" bestFit="1" customWidth="1"/>
    <col min="319" max="319" width="33.140625" bestFit="1" customWidth="1"/>
    <col min="320" max="320" width="13.140625" bestFit="1" customWidth="1"/>
    <col min="321" max="321" width="23" bestFit="1" customWidth="1"/>
    <col min="322" max="322" width="20.85546875" bestFit="1" customWidth="1"/>
    <col min="323" max="323" width="26.42578125" customWidth="1"/>
    <col min="324" max="325" width="24.28515625" bestFit="1" customWidth="1"/>
    <col min="326" max="326" width="8.5703125" customWidth="1"/>
    <col min="327" max="327" width="33.140625" bestFit="1" customWidth="1"/>
    <col min="328" max="328" width="13.140625" bestFit="1" customWidth="1"/>
    <col min="329" max="329" width="11.28515625" bestFit="1" customWidth="1"/>
    <col min="330" max="330" width="26.42578125" bestFit="1" customWidth="1"/>
    <col min="331" max="331" width="17.28515625" bestFit="1" customWidth="1"/>
    <col min="332" max="332" width="11.140625" customWidth="1"/>
    <col min="333" max="333" width="24.28515625" bestFit="1" customWidth="1"/>
    <col min="334" max="334" width="8.5703125" bestFit="1" customWidth="1"/>
    <col min="335" max="335" width="7.5703125" bestFit="1" customWidth="1"/>
    <col min="336" max="336" width="17.5703125" bestFit="1" customWidth="1"/>
    <col min="337" max="337" width="21" bestFit="1" customWidth="1"/>
    <col min="338" max="338" width="34.42578125" customWidth="1"/>
    <col min="339" max="339" width="24.28515625" bestFit="1" customWidth="1"/>
    <col min="340" max="340" width="8.5703125" bestFit="1" customWidth="1"/>
    <col min="341" max="341" width="11.140625" bestFit="1" customWidth="1"/>
    <col min="342" max="342" width="24.28515625" bestFit="1" customWidth="1"/>
    <col min="343" max="343" width="8.5703125" bestFit="1" customWidth="1"/>
    <col min="344" max="344" width="17.28515625" bestFit="1" customWidth="1"/>
    <col min="345" max="345" width="11.140625" bestFit="1" customWidth="1"/>
    <col min="346" max="346" width="7.5703125" bestFit="1" customWidth="1"/>
    <col min="347" max="347" width="24.28515625" bestFit="1" customWidth="1"/>
    <col min="348" max="348" width="8.5703125" bestFit="1" customWidth="1"/>
    <col min="349" max="349" width="34.42578125" bestFit="1" customWidth="1"/>
    <col min="350" max="350" width="11.140625" bestFit="1" customWidth="1"/>
    <col min="351" max="351" width="5.28515625" bestFit="1" customWidth="1"/>
    <col min="352" max="352" width="24.28515625" bestFit="1" customWidth="1"/>
    <col min="353" max="353" width="8.5703125" bestFit="1" customWidth="1"/>
    <col min="354" max="354" width="17.28515625" bestFit="1" customWidth="1"/>
    <col min="355" max="355" width="11.140625" bestFit="1" customWidth="1"/>
    <col min="356" max="356" width="7.5703125" customWidth="1"/>
    <col min="357" max="357" width="17.5703125" bestFit="1" customWidth="1"/>
    <col min="358" max="358" width="24.28515625" bestFit="1" customWidth="1"/>
    <col min="359" max="359" width="8.28515625" bestFit="1" customWidth="1"/>
    <col min="360" max="360" width="17.5703125" bestFit="1" customWidth="1"/>
    <col min="361" max="361" width="21" bestFit="1" customWidth="1"/>
    <col min="362" max="362" width="34.42578125" bestFit="1" customWidth="1"/>
    <col min="363" max="363" width="11.140625" customWidth="1"/>
    <col min="364" max="364" width="24.28515625" bestFit="1" customWidth="1"/>
    <col min="365" max="365" width="8.5703125" bestFit="1" customWidth="1"/>
    <col min="366" max="366" width="5.28515625" bestFit="1" customWidth="1"/>
    <col min="367" max="367" width="24.28515625" bestFit="1" customWidth="1"/>
    <col min="368" max="368" width="8.5703125" bestFit="1" customWidth="1"/>
    <col min="369" max="369" width="24.28515625" bestFit="1" customWidth="1"/>
    <col min="370" max="370" width="8.5703125" bestFit="1" customWidth="1"/>
    <col min="371" max="371" width="21" bestFit="1" customWidth="1"/>
    <col min="372" max="372" width="34.42578125" bestFit="1" customWidth="1"/>
    <col min="373" max="373" width="24.28515625" bestFit="1" customWidth="1"/>
    <col min="374" max="374" width="8.5703125" bestFit="1" customWidth="1"/>
    <col min="375" max="375" width="21" bestFit="1" customWidth="1"/>
    <col min="376" max="376" width="34.42578125" bestFit="1" customWidth="1"/>
    <col min="377" max="377" width="24.28515625" bestFit="1" customWidth="1"/>
    <col min="378" max="378" width="8.5703125" bestFit="1" customWidth="1"/>
    <col min="379" max="379" width="21" bestFit="1" customWidth="1"/>
    <col min="380" max="380" width="24.28515625" bestFit="1" customWidth="1"/>
    <col min="381" max="381" width="8.5703125" bestFit="1" customWidth="1"/>
    <col min="382" max="384" width="5.28515625" bestFit="1" customWidth="1"/>
    <col min="385" max="385" width="24.28515625" bestFit="1" customWidth="1"/>
    <col min="386" max="386" width="8.5703125" bestFit="1" customWidth="1"/>
    <col min="387" max="387" width="11.140625" bestFit="1" customWidth="1"/>
    <col min="388" max="388" width="24.28515625" bestFit="1" customWidth="1"/>
    <col min="389" max="389" width="8.28515625" bestFit="1" customWidth="1"/>
    <col min="390" max="390" width="34.42578125" customWidth="1"/>
    <col min="391" max="391" width="24.28515625" bestFit="1" customWidth="1"/>
    <col min="392" max="392" width="8.5703125" bestFit="1" customWidth="1"/>
    <col min="393" max="393" width="11.140625" customWidth="1"/>
    <col min="394" max="394" width="24.28515625" bestFit="1" customWidth="1"/>
    <col min="395" max="395" width="8.5703125" bestFit="1" customWidth="1"/>
    <col min="396" max="396" width="5.28515625" bestFit="1" customWidth="1"/>
    <col min="397" max="397" width="36.28515625" bestFit="1" customWidth="1"/>
    <col min="398" max="398" width="8.5703125" bestFit="1" customWidth="1"/>
    <col min="399" max="399" width="17.5703125" bestFit="1" customWidth="1"/>
    <col min="400" max="400" width="21" bestFit="1" customWidth="1"/>
    <col min="401" max="401" width="36.28515625" bestFit="1" customWidth="1"/>
    <col min="402" max="402" width="8.5703125" bestFit="1" customWidth="1"/>
    <col min="403" max="403" width="5.28515625" bestFit="1" customWidth="1"/>
    <col min="404" max="404" width="36.28515625" bestFit="1" customWidth="1"/>
    <col min="405" max="405" width="8.5703125" bestFit="1" customWidth="1"/>
    <col min="406" max="406" width="5.28515625" bestFit="1" customWidth="1"/>
    <col min="407" max="407" width="36.28515625" bestFit="1" customWidth="1"/>
    <col min="408" max="408" width="8.5703125" bestFit="1" customWidth="1"/>
    <col min="409" max="409" width="17.5703125" bestFit="1" customWidth="1"/>
    <col min="410" max="410" width="21" bestFit="1" customWidth="1"/>
    <col min="411" max="411" width="34.42578125" customWidth="1"/>
    <col min="412" max="412" width="36.28515625" bestFit="1" customWidth="1"/>
    <col min="413" max="413" width="8.5703125" bestFit="1" customWidth="1"/>
    <col min="414" max="414" width="11.140625" customWidth="1"/>
    <col min="415" max="415" width="5.28515625" bestFit="1" customWidth="1"/>
    <col min="416" max="416" width="33.140625" bestFit="1" customWidth="1"/>
    <col min="417" max="417" width="8.5703125" bestFit="1" customWidth="1"/>
    <col min="418" max="418" width="36.28515625" bestFit="1" customWidth="1"/>
    <col min="419" max="419" width="17.28515625" bestFit="1" customWidth="1"/>
    <col min="420" max="420" width="11.140625" bestFit="1" customWidth="1"/>
    <col min="421" max="421" width="7.5703125" customWidth="1"/>
    <col min="422" max="422" width="33.140625" bestFit="1" customWidth="1"/>
    <col min="423" max="423" width="8.5703125" bestFit="1" customWidth="1"/>
    <col min="424" max="424" width="17.5703125" bestFit="1" customWidth="1"/>
    <col min="425" max="425" width="21" bestFit="1" customWidth="1"/>
    <col min="426" max="426" width="34.42578125" bestFit="1" customWidth="1"/>
    <col min="427" max="427" width="11.140625" bestFit="1" customWidth="1"/>
    <col min="428" max="428" width="33.140625" bestFit="1" customWidth="1"/>
    <col min="429" max="429" width="8.28515625" bestFit="1" customWidth="1"/>
    <col min="430" max="430" width="17.5703125" bestFit="1" customWidth="1"/>
    <col min="431" max="431" width="21" bestFit="1" customWidth="1"/>
    <col min="432" max="432" width="33.140625" bestFit="1" customWidth="1"/>
    <col min="433" max="433" width="8.5703125" bestFit="1" customWidth="1"/>
    <col min="434" max="434" width="33.140625" bestFit="1" customWidth="1"/>
    <col min="435" max="435" width="8.5703125" bestFit="1" customWidth="1"/>
    <col min="436" max="436" width="33.140625" bestFit="1" customWidth="1"/>
    <col min="437" max="437" width="8.5703125" bestFit="1" customWidth="1"/>
    <col min="438" max="438" width="33.140625" bestFit="1" customWidth="1"/>
    <col min="439" max="439" width="8.5703125" bestFit="1" customWidth="1"/>
    <col min="440" max="440" width="33.140625" bestFit="1" customWidth="1"/>
    <col min="441" max="441" width="8.5703125" bestFit="1" customWidth="1"/>
    <col min="442" max="442" width="11.140625" bestFit="1" customWidth="1"/>
    <col min="443" max="443" width="7.5703125" bestFit="1" customWidth="1"/>
    <col min="444" max="444" width="17.5703125" bestFit="1" customWidth="1"/>
    <col min="445" max="445" width="36.28515625" bestFit="1" customWidth="1"/>
    <col min="446" max="446" width="8.5703125" bestFit="1" customWidth="1"/>
    <col min="447" max="447" width="24.28515625" bestFit="1" customWidth="1"/>
    <col min="448" max="448" width="37.7109375" bestFit="1" customWidth="1"/>
    <col min="449" max="449" width="36.28515625" customWidth="1"/>
    <col min="450" max="450" width="13.140625" bestFit="1" customWidth="1"/>
    <col min="451" max="451" width="33.140625" bestFit="1" customWidth="1"/>
    <col min="452" max="452" width="36.28515625" customWidth="1"/>
    <col min="453" max="453" width="8.28515625" bestFit="1" customWidth="1"/>
    <col min="454" max="454" width="33.140625" bestFit="1" customWidth="1"/>
    <col min="455" max="455" width="17.28515625" bestFit="1" customWidth="1"/>
    <col min="456" max="456" width="11.140625" bestFit="1" customWidth="1"/>
    <col min="457" max="457" width="36.28515625" bestFit="1" customWidth="1"/>
    <col min="458" max="458" width="8.28515625" bestFit="1" customWidth="1"/>
    <col min="459" max="459" width="19.5703125" bestFit="1" customWidth="1"/>
    <col min="460" max="460" width="32.140625" bestFit="1" customWidth="1"/>
    <col min="461" max="461" width="10.5703125" bestFit="1" customWidth="1"/>
    <col min="462" max="462" width="5.140625" bestFit="1" customWidth="1"/>
    <col min="463" max="463" width="34.28515625" bestFit="1" customWidth="1"/>
    <col min="464" max="464" width="7.85546875" bestFit="1" customWidth="1"/>
    <col min="465" max="465" width="7.5703125" bestFit="1" customWidth="1"/>
    <col min="466" max="466" width="17.5703125" bestFit="1" customWidth="1"/>
    <col min="467" max="467" width="36.28515625" bestFit="1" customWidth="1"/>
    <col min="468" max="468" width="8.5703125" bestFit="1" customWidth="1"/>
    <col min="469" max="469" width="34.42578125" bestFit="1" customWidth="1"/>
    <col min="470" max="470" width="11.140625" bestFit="1" customWidth="1"/>
    <col min="471" max="471" width="5.28515625" bestFit="1" customWidth="1"/>
    <col min="472" max="472" width="36.28515625" bestFit="1" customWidth="1"/>
    <col min="473" max="473" width="8.5703125" bestFit="1" customWidth="1"/>
    <col min="474" max="474" width="26.42578125" bestFit="1" customWidth="1"/>
    <col min="475" max="475" width="24.28515625" bestFit="1" customWidth="1"/>
    <col min="476" max="476" width="37.7109375" bestFit="1" customWidth="1"/>
    <col min="477" max="477" width="36.28515625" bestFit="1" customWidth="1"/>
    <col min="478" max="478" width="13.140625" bestFit="1" customWidth="1"/>
    <col min="479" max="479" width="33.140625" bestFit="1" customWidth="1"/>
    <col min="480" max="480" width="36.28515625" bestFit="1" customWidth="1"/>
    <col min="481" max="481" width="8.5703125" bestFit="1" customWidth="1"/>
    <col min="482" max="482" width="11.140625" bestFit="1" customWidth="1"/>
    <col min="483" max="483" width="7.5703125" bestFit="1" customWidth="1"/>
    <col min="484" max="484" width="17.5703125" bestFit="1" customWidth="1"/>
    <col min="485" max="485" width="21" bestFit="1" customWidth="1"/>
    <col min="486" max="486" width="36.28515625" bestFit="1" customWidth="1"/>
    <col min="487" max="487" width="8.5703125" bestFit="1" customWidth="1"/>
    <col min="488" max="488" width="26.42578125" bestFit="1" customWidth="1"/>
    <col min="489" max="489" width="24.28515625" bestFit="1" customWidth="1"/>
    <col min="490" max="490" width="37.7109375" bestFit="1" customWidth="1"/>
    <col min="491" max="491" width="36.28515625" bestFit="1" customWidth="1"/>
    <col min="492" max="492" width="13.140625" bestFit="1" customWidth="1"/>
    <col min="493" max="493" width="33.140625" bestFit="1" customWidth="1"/>
    <col min="494" max="494" width="36.28515625" bestFit="1" customWidth="1"/>
    <col min="495" max="495" width="8.28515625" bestFit="1" customWidth="1"/>
    <col min="496" max="496" width="33.140625" bestFit="1" customWidth="1"/>
    <col min="497" max="497" width="17.28515625" bestFit="1" customWidth="1"/>
    <col min="498" max="498" width="11.140625" bestFit="1" customWidth="1"/>
    <col min="499" max="499" width="36.28515625" bestFit="1" customWidth="1"/>
    <col min="500" max="500" width="8.5703125" bestFit="1" customWidth="1"/>
    <col min="501" max="501" width="21" bestFit="1" customWidth="1"/>
    <col min="502" max="502" width="34.42578125" bestFit="1" customWidth="1"/>
    <col min="503" max="503" width="36.28515625" bestFit="1" customWidth="1"/>
    <col min="504" max="504" width="8.5703125" bestFit="1" customWidth="1"/>
    <col min="505" max="505" width="36.28515625" bestFit="1" customWidth="1"/>
    <col min="506" max="506" width="8.5703125" bestFit="1" customWidth="1"/>
    <col min="507" max="507" width="17.5703125" bestFit="1" customWidth="1"/>
    <col min="508" max="508" width="36.28515625" bestFit="1" customWidth="1"/>
    <col min="509" max="509" width="8.28515625" bestFit="1" customWidth="1"/>
    <col min="510" max="510" width="11.140625" bestFit="1" customWidth="1"/>
    <col min="511" max="512" width="5.28515625" bestFit="1" customWidth="1"/>
    <col min="513" max="513" width="36.28515625" bestFit="1" customWidth="1"/>
    <col min="514" max="514" width="8.5703125" bestFit="1" customWidth="1"/>
    <col min="515" max="515" width="36.5703125" bestFit="1" customWidth="1"/>
    <col min="516" max="516" width="30.7109375" bestFit="1" customWidth="1"/>
    <col min="517" max="517" width="37.7109375" bestFit="1" customWidth="1"/>
    <col min="518" max="518" width="36.28515625" bestFit="1" customWidth="1"/>
    <col min="519" max="519" width="33.140625" bestFit="1" customWidth="1"/>
    <col min="520" max="520" width="17.28515625" bestFit="1" customWidth="1"/>
    <col min="521" max="521" width="36.28515625" bestFit="1" customWidth="1"/>
    <col min="522" max="522" width="8.28515625" bestFit="1" customWidth="1"/>
    <col min="523" max="523" width="17.5703125" bestFit="1" customWidth="1"/>
    <col min="524" max="524" width="21" bestFit="1" customWidth="1"/>
    <col min="525" max="525" width="34.42578125" bestFit="1" customWidth="1"/>
    <col min="526" max="526" width="11.140625" bestFit="1" customWidth="1"/>
    <col min="527" max="528" width="5.28515625" bestFit="1" customWidth="1"/>
    <col min="529" max="529" width="36.28515625" bestFit="1" customWidth="1"/>
    <col min="530" max="530" width="8.5703125" bestFit="1" customWidth="1"/>
    <col min="531" max="531" width="17.5703125" bestFit="1" customWidth="1"/>
    <col min="532" max="532" width="21" bestFit="1" customWidth="1"/>
    <col min="533" max="533" width="36.28515625" bestFit="1" customWidth="1"/>
    <col min="534" max="534" width="8.28515625" bestFit="1" customWidth="1"/>
    <col min="535" max="535" width="33.140625" bestFit="1" customWidth="1"/>
    <col min="536" max="536" width="17.28515625" bestFit="1" customWidth="1"/>
    <col min="537" max="537" width="11.140625" bestFit="1" customWidth="1"/>
    <col min="538" max="538" width="36.28515625" bestFit="1" customWidth="1"/>
    <col min="539" max="539" width="8.28515625" bestFit="1" customWidth="1"/>
    <col min="540" max="540" width="21" bestFit="1" customWidth="1"/>
    <col min="541" max="541" width="34.42578125" bestFit="1" customWidth="1"/>
    <col min="542" max="542" width="11.140625" bestFit="1" customWidth="1"/>
    <col min="543" max="543" width="36.28515625" bestFit="1" customWidth="1"/>
    <col min="544" max="544" width="8.5703125" bestFit="1" customWidth="1"/>
    <col min="545" max="545" width="36.28515625" bestFit="1" customWidth="1"/>
    <col min="546" max="546" width="8.5703125" bestFit="1" customWidth="1"/>
    <col min="547" max="547" width="11.140625" bestFit="1" customWidth="1"/>
    <col min="548" max="548" width="7.5703125" bestFit="1" customWidth="1"/>
    <col min="549" max="549" width="17.5703125" bestFit="1" customWidth="1"/>
    <col min="550" max="550" width="36.28515625" bestFit="1" customWidth="1"/>
    <col min="551" max="551" width="8.28515625" bestFit="1" customWidth="1"/>
    <col min="552" max="552" width="36.28515625" bestFit="1" customWidth="1"/>
    <col min="553" max="553" width="8.5703125" bestFit="1" customWidth="1"/>
    <col min="554" max="554" width="34.42578125" bestFit="1" customWidth="1"/>
    <col min="555" max="555" width="11.140625" bestFit="1" customWidth="1"/>
    <col min="556" max="557" width="5.28515625" bestFit="1" customWidth="1"/>
    <col min="558" max="558" width="36.28515625" bestFit="1" customWidth="1"/>
    <col min="559" max="559" width="8.5703125" bestFit="1" customWidth="1"/>
    <col min="560" max="560" width="36.28515625" bestFit="1" customWidth="1"/>
    <col min="561" max="561" width="8.28515625" bestFit="1" customWidth="1"/>
    <col min="562" max="562" width="36.28515625" bestFit="1" customWidth="1"/>
    <col min="563" max="563" width="8.28515625" bestFit="1" customWidth="1"/>
    <col min="564" max="564" width="33.140625" bestFit="1" customWidth="1"/>
    <col min="565" max="565" width="17.28515625" bestFit="1" customWidth="1"/>
    <col min="566" max="566" width="11.140625" bestFit="1" customWidth="1"/>
    <col min="567" max="567" width="36.28515625" bestFit="1" customWidth="1"/>
    <col min="568" max="568" width="8.28515625" bestFit="1" customWidth="1"/>
    <col min="569" max="569" width="21" bestFit="1" customWidth="1"/>
    <col min="570" max="570" width="34.42578125" bestFit="1" customWidth="1"/>
    <col min="571" max="571" width="11.140625" bestFit="1" customWidth="1"/>
    <col min="572" max="573" width="5.28515625" bestFit="1" customWidth="1"/>
    <col min="574" max="574" width="11.140625" bestFit="1" customWidth="1"/>
    <col min="575" max="575" width="7.5703125" bestFit="1" customWidth="1"/>
    <col min="576" max="576" width="17.5703125" bestFit="1" customWidth="1"/>
    <col min="577" max="577" width="21" bestFit="1" customWidth="1"/>
    <col min="578" max="578" width="11.140625" bestFit="1" customWidth="1"/>
    <col min="579" max="579" width="7.5703125" bestFit="1" customWidth="1"/>
    <col min="580" max="580" width="33.140625" bestFit="1" customWidth="1"/>
    <col min="581" max="581" width="36.28515625" bestFit="1" customWidth="1"/>
    <col min="582" max="582" width="8.5703125" bestFit="1" customWidth="1"/>
    <col min="583" max="583" width="17.28515625" bestFit="1" customWidth="1"/>
    <col min="584" max="584" width="11.140625" bestFit="1" customWidth="1"/>
    <col min="585" max="585" width="7.5703125" customWidth="1"/>
    <col min="586" max="586" width="17.5703125" bestFit="1" customWidth="1"/>
    <col min="587" max="588" width="21" bestFit="1" customWidth="1"/>
    <col min="589" max="589" width="11.28515625" bestFit="1" customWidth="1"/>
    <col min="590" max="590" width="8.28515625" bestFit="1" customWidth="1"/>
    <col min="591" max="591" width="17.28515625" bestFit="1" customWidth="1"/>
    <col min="592" max="592" width="11.140625" bestFit="1" customWidth="1"/>
    <col min="593" max="593" width="7.5703125" bestFit="1" customWidth="1"/>
    <col min="594" max="594" width="17.5703125" bestFit="1" customWidth="1"/>
    <col min="595" max="595" width="21" bestFit="1" customWidth="1"/>
    <col min="596" max="596" width="34.42578125" bestFit="1" customWidth="1"/>
    <col min="597" max="597" width="11.140625" bestFit="1" customWidth="1"/>
    <col min="598" max="604" width="5.28515625" bestFit="1" customWidth="1"/>
    <col min="605" max="605" width="11.140625" bestFit="1" customWidth="1"/>
    <col min="606" max="606" width="7.5703125" bestFit="1" customWidth="1"/>
    <col min="607" max="607" width="17.5703125" bestFit="1" customWidth="1"/>
    <col min="608" max="608" width="21" bestFit="1" customWidth="1"/>
    <col min="609" max="609" width="34.42578125" bestFit="1" customWidth="1"/>
    <col min="610" max="610" width="11.140625" bestFit="1" customWidth="1"/>
    <col min="611" max="613" width="5.28515625" bestFit="1" customWidth="1"/>
    <col min="614" max="614" width="36.28515625" bestFit="1" customWidth="1"/>
    <col min="615" max="615" width="8.28515625" bestFit="1" customWidth="1"/>
    <col min="616" max="616" width="17.28515625" bestFit="1" customWidth="1"/>
    <col min="617" max="617" width="11.140625" bestFit="1" customWidth="1"/>
    <col min="618" max="618" width="7.5703125" bestFit="1" customWidth="1"/>
    <col min="619" max="619" width="17.5703125" bestFit="1" customWidth="1"/>
    <col min="620" max="620" width="21" bestFit="1" customWidth="1"/>
    <col min="621" max="621" width="34.42578125" bestFit="1" customWidth="1"/>
    <col min="622" max="622" width="11.140625" bestFit="1" customWidth="1"/>
    <col min="623" max="623" width="33.140625" bestFit="1" customWidth="1"/>
    <col min="624" max="624" width="36.28515625" bestFit="1" customWidth="1"/>
    <col min="625" max="625" width="8.5703125" bestFit="1" customWidth="1"/>
    <col min="626" max="626" width="17.28515625" bestFit="1" customWidth="1"/>
    <col min="627" max="627" width="11.140625" bestFit="1" customWidth="1"/>
    <col min="628" max="628" width="33.140625" bestFit="1" customWidth="1"/>
    <col min="629" max="629" width="36.28515625" bestFit="1" customWidth="1"/>
    <col min="630" max="630" width="33.140625" bestFit="1" customWidth="1"/>
    <col min="631" max="631" width="36.28515625" customWidth="1"/>
    <col min="632" max="632" width="11.28515625" bestFit="1" customWidth="1"/>
    <col min="633" max="633" width="8.5703125" bestFit="1" customWidth="1"/>
    <col min="634" max="634" width="33.140625" bestFit="1" customWidth="1"/>
    <col min="635" max="635" width="36.28515625" bestFit="1" customWidth="1"/>
    <col min="636" max="636" width="36.28515625" customWidth="1"/>
    <col min="637" max="637" width="33.140625" bestFit="1" customWidth="1"/>
    <col min="638" max="638" width="36.28515625" customWidth="1"/>
    <col min="639" max="639" width="9" bestFit="1" customWidth="1"/>
    <col min="640" max="640" width="17.28515625" bestFit="1" customWidth="1"/>
    <col min="641" max="641" width="11.140625" bestFit="1" customWidth="1"/>
    <col min="642" max="642" width="8" bestFit="1" customWidth="1"/>
    <col min="643" max="643" width="10.42578125" bestFit="1" customWidth="1"/>
    <col min="644" max="645" width="24.42578125" bestFit="1" customWidth="1"/>
    <col min="646" max="646" width="11.5703125" bestFit="1" customWidth="1"/>
    <col min="647" max="647" width="14.7109375" bestFit="1" customWidth="1"/>
    <col min="648" max="648" width="13.5703125" bestFit="1" customWidth="1"/>
    <col min="649" max="649" width="26.85546875" bestFit="1" customWidth="1"/>
    <col min="650" max="650" width="31.28515625" bestFit="1" customWidth="1"/>
  </cols>
  <sheetData>
    <row r="1" spans="1:54" x14ac:dyDescent="0.25">
      <c r="A1" t="s">
        <v>0</v>
      </c>
      <c r="B1" t="s">
        <v>36</v>
      </c>
      <c r="C1" t="s">
        <v>37</v>
      </c>
      <c r="D1" t="s">
        <v>11</v>
      </c>
      <c r="E1" t="s">
        <v>17</v>
      </c>
      <c r="F1" t="s">
        <v>39</v>
      </c>
      <c r="G1" t="s">
        <v>40</v>
      </c>
      <c r="H1" s="2" t="s">
        <v>38</v>
      </c>
      <c r="I1" t="s">
        <v>12</v>
      </c>
      <c r="J1" t="s">
        <v>47</v>
      </c>
      <c r="K1" t="s">
        <v>124</v>
      </c>
      <c r="L1" t="s">
        <v>125</v>
      </c>
      <c r="M1" t="s">
        <v>126</v>
      </c>
      <c r="N1" t="s">
        <v>127</v>
      </c>
      <c r="O1" t="s">
        <v>418</v>
      </c>
      <c r="P1" t="s">
        <v>419</v>
      </c>
      <c r="Q1" t="s">
        <v>420</v>
      </c>
      <c r="R1" t="s">
        <v>421</v>
      </c>
      <c r="S1" t="s">
        <v>366</v>
      </c>
      <c r="T1" t="s">
        <v>367</v>
      </c>
      <c r="U1" t="s">
        <v>128</v>
      </c>
      <c r="V1" t="s">
        <v>129</v>
      </c>
      <c r="W1" t="s">
        <v>163</v>
      </c>
      <c r="X1" t="s">
        <v>164</v>
      </c>
      <c r="Y1" t="s">
        <v>48</v>
      </c>
      <c r="Z1" t="s">
        <v>49</v>
      </c>
      <c r="AA1" t="s">
        <v>130</v>
      </c>
      <c r="AB1" t="s">
        <v>131</v>
      </c>
      <c r="AC1" t="s">
        <v>165</v>
      </c>
      <c r="AD1" t="s">
        <v>166</v>
      </c>
      <c r="AE1" t="s">
        <v>422</v>
      </c>
      <c r="AF1" t="s">
        <v>423</v>
      </c>
      <c r="AG1" t="s">
        <v>88</v>
      </c>
      <c r="AH1" t="s">
        <v>89</v>
      </c>
      <c r="AI1" t="s">
        <v>240</v>
      </c>
      <c r="AJ1" t="s">
        <v>241</v>
      </c>
      <c r="AK1" t="s">
        <v>242</v>
      </c>
      <c r="AL1" t="s">
        <v>243</v>
      </c>
      <c r="AM1" t="s">
        <v>262</v>
      </c>
      <c r="AN1" t="s">
        <v>263</v>
      </c>
      <c r="AO1" t="s">
        <v>299</v>
      </c>
      <c r="AP1" t="s">
        <v>300</v>
      </c>
      <c r="AQ1" t="s">
        <v>171</v>
      </c>
      <c r="AR1" t="s">
        <v>244</v>
      </c>
      <c r="AS1" t="s">
        <v>270</v>
      </c>
      <c r="AT1" t="s">
        <v>52</v>
      </c>
      <c r="AU1" t="s">
        <v>53</v>
      </c>
      <c r="AV1" t="s">
        <v>54</v>
      </c>
      <c r="AW1" t="s">
        <v>117</v>
      </c>
      <c r="AX1" t="s">
        <v>118</v>
      </c>
      <c r="AY1" t="s">
        <v>50</v>
      </c>
      <c r="AZ1" t="s">
        <v>51</v>
      </c>
      <c r="BA1" t="s">
        <v>61</v>
      </c>
      <c r="BB1" t="s">
        <v>62</v>
      </c>
    </row>
    <row r="2" spans="1:54" x14ac:dyDescent="0.25">
      <c r="A2">
        <v>774</v>
      </c>
      <c r="B2" t="s">
        <v>251</v>
      </c>
      <c r="C2" t="s">
        <v>146</v>
      </c>
      <c r="D2" t="s">
        <v>13</v>
      </c>
      <c r="E2">
        <v>6</v>
      </c>
      <c r="F2">
        <v>30.72</v>
      </c>
      <c r="G2">
        <v>184.32</v>
      </c>
      <c r="H2" s="2">
        <v>45207</v>
      </c>
      <c r="I2" t="s">
        <v>220</v>
      </c>
      <c r="J2" t="s">
        <v>55</v>
      </c>
      <c r="K2" t="s">
        <v>60</v>
      </c>
      <c r="L2" t="s">
        <v>60</v>
      </c>
      <c r="M2" t="s">
        <v>60</v>
      </c>
      <c r="N2" t="s">
        <v>60</v>
      </c>
      <c r="O2" t="s">
        <v>60</v>
      </c>
      <c r="P2" t="s">
        <v>60</v>
      </c>
      <c r="Q2" t="s">
        <v>60</v>
      </c>
      <c r="R2" t="s">
        <v>60</v>
      </c>
      <c r="S2" t="s">
        <v>60</v>
      </c>
      <c r="T2" t="s">
        <v>60</v>
      </c>
      <c r="U2" t="s">
        <v>424</v>
      </c>
      <c r="V2" t="s">
        <v>425</v>
      </c>
      <c r="W2" t="s">
        <v>60</v>
      </c>
      <c r="X2" t="s">
        <v>60</v>
      </c>
      <c r="Y2" t="s">
        <v>56</v>
      </c>
      <c r="Z2" t="s">
        <v>57</v>
      </c>
      <c r="AA2" t="s">
        <v>135</v>
      </c>
      <c r="AB2" t="s">
        <v>294</v>
      </c>
      <c r="AC2" t="s">
        <v>234</v>
      </c>
      <c r="AD2" t="s">
        <v>426</v>
      </c>
      <c r="AE2" t="s">
        <v>370</v>
      </c>
      <c r="AF2" t="s">
        <v>427</v>
      </c>
      <c r="AG2" t="s">
        <v>60</v>
      </c>
      <c r="AH2" t="s">
        <v>60</v>
      </c>
      <c r="AI2">
        <v>0</v>
      </c>
      <c r="AJ2">
        <v>0</v>
      </c>
      <c r="AK2" t="s">
        <v>60</v>
      </c>
      <c r="AL2" t="s">
        <v>60</v>
      </c>
      <c r="AM2" t="s">
        <v>167</v>
      </c>
      <c r="AN2" t="s">
        <v>349</v>
      </c>
      <c r="AO2">
        <v>6</v>
      </c>
      <c r="AP2">
        <v>184.32</v>
      </c>
      <c r="AQ2" t="s">
        <v>121</v>
      </c>
      <c r="AR2" t="s">
        <v>60</v>
      </c>
      <c r="AS2" t="s">
        <v>60</v>
      </c>
      <c r="AT2" t="s">
        <v>466</v>
      </c>
      <c r="AU2" t="s">
        <v>467</v>
      </c>
      <c r="AV2" t="s">
        <v>468</v>
      </c>
      <c r="AW2" t="s">
        <v>469</v>
      </c>
      <c r="AX2" t="s">
        <v>470</v>
      </c>
      <c r="AY2" t="s">
        <v>58</v>
      </c>
      <c r="AZ2" t="s">
        <v>59</v>
      </c>
      <c r="BA2" t="s">
        <v>205</v>
      </c>
      <c r="BB2" t="s">
        <v>395</v>
      </c>
    </row>
    <row r="3" spans="1:54" x14ac:dyDescent="0.25">
      <c r="A3">
        <v>631</v>
      </c>
      <c r="B3" t="s">
        <v>266</v>
      </c>
      <c r="C3" t="s">
        <v>182</v>
      </c>
      <c r="D3" t="s">
        <v>13</v>
      </c>
      <c r="E3">
        <v>4</v>
      </c>
      <c r="F3">
        <v>36.090000000000003</v>
      </c>
      <c r="G3">
        <v>144.36000000000001</v>
      </c>
      <c r="H3" s="2">
        <v>45207</v>
      </c>
      <c r="I3" t="s">
        <v>265</v>
      </c>
      <c r="J3" t="s">
        <v>55</v>
      </c>
      <c r="K3" t="s">
        <v>135</v>
      </c>
      <c r="L3" t="s">
        <v>326</v>
      </c>
      <c r="M3" t="s">
        <v>428</v>
      </c>
      <c r="N3" t="s">
        <v>429</v>
      </c>
      <c r="O3" t="s">
        <v>60</v>
      </c>
      <c r="P3" t="s">
        <v>60</v>
      </c>
      <c r="Q3" t="s">
        <v>60</v>
      </c>
      <c r="R3" t="s">
        <v>60</v>
      </c>
      <c r="S3" t="s">
        <v>90</v>
      </c>
      <c r="T3" t="s">
        <v>327</v>
      </c>
      <c r="U3" t="s">
        <v>233</v>
      </c>
      <c r="V3" t="s">
        <v>328</v>
      </c>
      <c r="W3" t="s">
        <v>60</v>
      </c>
      <c r="X3" t="s">
        <v>60</v>
      </c>
      <c r="Y3" t="s">
        <v>56</v>
      </c>
      <c r="Z3" t="s">
        <v>57</v>
      </c>
      <c r="AA3" t="s">
        <v>60</v>
      </c>
      <c r="AB3" t="s">
        <v>60</v>
      </c>
      <c r="AC3" t="s">
        <v>60</v>
      </c>
      <c r="AD3" t="s">
        <v>60</v>
      </c>
      <c r="AE3" t="s">
        <v>60</v>
      </c>
      <c r="AF3" t="s">
        <v>60</v>
      </c>
      <c r="AG3" t="s">
        <v>428</v>
      </c>
      <c r="AH3" t="s">
        <v>430</v>
      </c>
      <c r="AI3">
        <v>4</v>
      </c>
      <c r="AJ3">
        <v>144.36000000000001</v>
      </c>
      <c r="AK3" t="s">
        <v>431</v>
      </c>
      <c r="AL3" t="s">
        <v>432</v>
      </c>
      <c r="AM3" t="s">
        <v>60</v>
      </c>
      <c r="AN3" t="s">
        <v>60</v>
      </c>
      <c r="AO3">
        <v>0</v>
      </c>
      <c r="AP3">
        <v>0</v>
      </c>
      <c r="AQ3" t="s">
        <v>60</v>
      </c>
      <c r="AR3" t="s">
        <v>60</v>
      </c>
      <c r="AS3" t="s">
        <v>471</v>
      </c>
      <c r="AT3" t="s">
        <v>472</v>
      </c>
      <c r="AU3" t="s">
        <v>472</v>
      </c>
      <c r="AV3" t="s">
        <v>473</v>
      </c>
      <c r="AW3" t="s">
        <v>474</v>
      </c>
      <c r="AX3" t="s">
        <v>475</v>
      </c>
      <c r="AY3" t="s">
        <v>58</v>
      </c>
      <c r="AZ3" t="s">
        <v>59</v>
      </c>
      <c r="BA3" t="s">
        <v>476</v>
      </c>
      <c r="BB3" t="s">
        <v>477</v>
      </c>
    </row>
    <row r="4" spans="1:54" x14ac:dyDescent="0.25">
      <c r="A4">
        <v>775</v>
      </c>
      <c r="B4" t="s">
        <v>329</v>
      </c>
      <c r="C4" t="s">
        <v>148</v>
      </c>
      <c r="D4" t="s">
        <v>13</v>
      </c>
      <c r="E4">
        <v>5</v>
      </c>
      <c r="F4">
        <v>36.089999999999996</v>
      </c>
      <c r="G4">
        <v>180.45</v>
      </c>
      <c r="H4" s="2">
        <v>45207</v>
      </c>
      <c r="I4" t="s">
        <v>264</v>
      </c>
      <c r="J4" t="s">
        <v>55</v>
      </c>
      <c r="K4" t="s">
        <v>386</v>
      </c>
      <c r="L4" t="s">
        <v>387</v>
      </c>
      <c r="M4" t="s">
        <v>362</v>
      </c>
      <c r="N4" t="s">
        <v>374</v>
      </c>
      <c r="O4" t="s">
        <v>60</v>
      </c>
      <c r="P4" t="s">
        <v>60</v>
      </c>
      <c r="Q4" t="s">
        <v>60</v>
      </c>
      <c r="R4" t="s">
        <v>60</v>
      </c>
      <c r="S4" t="s">
        <v>90</v>
      </c>
      <c r="T4" t="s">
        <v>327</v>
      </c>
      <c r="U4" t="s">
        <v>388</v>
      </c>
      <c r="V4" t="s">
        <v>389</v>
      </c>
      <c r="W4" t="s">
        <v>60</v>
      </c>
      <c r="X4" t="s">
        <v>60</v>
      </c>
      <c r="Y4" t="s">
        <v>56</v>
      </c>
      <c r="Z4" t="s">
        <v>57</v>
      </c>
      <c r="AA4" t="s">
        <v>60</v>
      </c>
      <c r="AB4" t="s">
        <v>60</v>
      </c>
      <c r="AC4" t="s">
        <v>60</v>
      </c>
      <c r="AD4" t="s">
        <v>60</v>
      </c>
      <c r="AE4" t="s">
        <v>60</v>
      </c>
      <c r="AF4" t="s">
        <v>60</v>
      </c>
      <c r="AG4" t="s">
        <v>362</v>
      </c>
      <c r="AH4" t="s">
        <v>375</v>
      </c>
      <c r="AI4">
        <v>5</v>
      </c>
      <c r="AJ4">
        <v>180.45</v>
      </c>
      <c r="AK4" t="s">
        <v>167</v>
      </c>
      <c r="AL4" t="s">
        <v>434</v>
      </c>
      <c r="AM4" t="s">
        <v>60</v>
      </c>
      <c r="AN4" t="s">
        <v>60</v>
      </c>
      <c r="AO4">
        <v>0</v>
      </c>
      <c r="AP4">
        <v>0</v>
      </c>
      <c r="AQ4" t="s">
        <v>334</v>
      </c>
      <c r="AR4" t="s">
        <v>60</v>
      </c>
      <c r="AS4" t="s">
        <v>60</v>
      </c>
      <c r="AT4" t="s">
        <v>478</v>
      </c>
      <c r="AU4" t="s">
        <v>479</v>
      </c>
      <c r="AV4" t="s">
        <v>480</v>
      </c>
      <c r="AW4" t="s">
        <v>481</v>
      </c>
      <c r="AX4" t="s">
        <v>482</v>
      </c>
      <c r="AY4" t="s">
        <v>58</v>
      </c>
      <c r="AZ4" t="s">
        <v>59</v>
      </c>
      <c r="BA4" t="s">
        <v>483</v>
      </c>
      <c r="BB4" t="s">
        <v>484</v>
      </c>
    </row>
    <row r="5" spans="1:54" x14ac:dyDescent="0.25">
      <c r="A5">
        <v>168</v>
      </c>
      <c r="B5" t="s">
        <v>15</v>
      </c>
      <c r="C5" t="s">
        <v>9</v>
      </c>
      <c r="D5" t="s">
        <v>13</v>
      </c>
      <c r="E5">
        <v>4</v>
      </c>
      <c r="F5">
        <v>36.090000000000003</v>
      </c>
      <c r="G5">
        <v>144.36000000000001</v>
      </c>
      <c r="H5" s="2">
        <v>45207</v>
      </c>
      <c r="I5" t="s">
        <v>168</v>
      </c>
      <c r="J5" t="s">
        <v>76</v>
      </c>
      <c r="K5" t="s">
        <v>135</v>
      </c>
      <c r="L5" t="s">
        <v>390</v>
      </c>
      <c r="M5" t="s">
        <v>435</v>
      </c>
      <c r="N5" t="s">
        <v>436</v>
      </c>
      <c r="O5" t="s">
        <v>437</v>
      </c>
      <c r="P5" t="s">
        <v>438</v>
      </c>
      <c r="Q5" t="s">
        <v>437</v>
      </c>
      <c r="R5" t="s">
        <v>439</v>
      </c>
      <c r="S5" t="s">
        <v>167</v>
      </c>
      <c r="T5" t="s">
        <v>440</v>
      </c>
      <c r="U5" t="s">
        <v>233</v>
      </c>
      <c r="V5" t="s">
        <v>368</v>
      </c>
      <c r="W5" t="s">
        <v>60</v>
      </c>
      <c r="X5" t="s">
        <v>60</v>
      </c>
      <c r="Y5" t="s">
        <v>56</v>
      </c>
      <c r="Z5" t="s">
        <v>57</v>
      </c>
      <c r="AA5" t="s">
        <v>60</v>
      </c>
      <c r="AB5" t="s">
        <v>60</v>
      </c>
      <c r="AC5" t="s">
        <v>60</v>
      </c>
      <c r="AD5" t="s">
        <v>60</v>
      </c>
      <c r="AE5" t="s">
        <v>60</v>
      </c>
      <c r="AF5" t="s">
        <v>60</v>
      </c>
      <c r="AG5" t="s">
        <v>60</v>
      </c>
      <c r="AH5" t="s">
        <v>60</v>
      </c>
      <c r="AI5">
        <v>4</v>
      </c>
      <c r="AJ5">
        <v>144.36000000000001</v>
      </c>
      <c r="AK5" t="s">
        <v>431</v>
      </c>
      <c r="AL5" t="s">
        <v>432</v>
      </c>
      <c r="AM5" t="s">
        <v>60</v>
      </c>
      <c r="AN5" t="s">
        <v>60</v>
      </c>
      <c r="AO5">
        <v>0</v>
      </c>
      <c r="AP5">
        <v>0</v>
      </c>
      <c r="AQ5" t="s">
        <v>60</v>
      </c>
      <c r="AR5" t="s">
        <v>60</v>
      </c>
      <c r="AS5" t="s">
        <v>60</v>
      </c>
      <c r="AT5" t="s">
        <v>485</v>
      </c>
      <c r="AU5" t="s">
        <v>485</v>
      </c>
      <c r="AV5" t="s">
        <v>486</v>
      </c>
      <c r="AW5" t="s">
        <v>487</v>
      </c>
      <c r="AX5" t="s">
        <v>488</v>
      </c>
      <c r="AY5" t="s">
        <v>58</v>
      </c>
      <c r="AZ5" t="s">
        <v>59</v>
      </c>
      <c r="BA5" t="s">
        <v>489</v>
      </c>
      <c r="BB5" t="s">
        <v>490</v>
      </c>
    </row>
    <row r="6" spans="1:54" x14ac:dyDescent="0.25">
      <c r="A6">
        <v>665</v>
      </c>
      <c r="B6" t="s">
        <v>64</v>
      </c>
      <c r="C6" t="s">
        <v>217</v>
      </c>
      <c r="D6" t="s">
        <v>13</v>
      </c>
      <c r="E6">
        <v>4</v>
      </c>
      <c r="F6">
        <v>30.72</v>
      </c>
      <c r="G6">
        <v>122.88</v>
      </c>
      <c r="H6" s="2">
        <v>45207</v>
      </c>
      <c r="I6" t="s">
        <v>220</v>
      </c>
      <c r="J6" t="s">
        <v>55</v>
      </c>
      <c r="K6" t="s">
        <v>90</v>
      </c>
      <c r="L6" t="s">
        <v>441</v>
      </c>
      <c r="M6" t="s">
        <v>60</v>
      </c>
      <c r="N6" t="s">
        <v>60</v>
      </c>
      <c r="O6" t="s">
        <v>60</v>
      </c>
      <c r="P6" t="s">
        <v>60</v>
      </c>
      <c r="Q6" t="s">
        <v>60</v>
      </c>
      <c r="R6" t="s">
        <v>60</v>
      </c>
      <c r="S6" t="s">
        <v>90</v>
      </c>
      <c r="T6" t="s">
        <v>441</v>
      </c>
      <c r="U6" t="s">
        <v>424</v>
      </c>
      <c r="V6" t="s">
        <v>425</v>
      </c>
      <c r="W6" t="s">
        <v>60</v>
      </c>
      <c r="X6" t="s">
        <v>60</v>
      </c>
      <c r="Y6" t="s">
        <v>56</v>
      </c>
      <c r="Z6" t="s">
        <v>57</v>
      </c>
      <c r="AA6" t="s">
        <v>90</v>
      </c>
      <c r="AB6" t="s">
        <v>442</v>
      </c>
      <c r="AC6" t="s">
        <v>135</v>
      </c>
      <c r="AD6" t="s">
        <v>294</v>
      </c>
      <c r="AE6" t="s">
        <v>60</v>
      </c>
      <c r="AF6" t="s">
        <v>60</v>
      </c>
      <c r="AG6" t="s">
        <v>60</v>
      </c>
      <c r="AH6" t="s">
        <v>60</v>
      </c>
      <c r="AI6">
        <v>0</v>
      </c>
      <c r="AJ6">
        <v>0</v>
      </c>
      <c r="AK6" t="s">
        <v>60</v>
      </c>
      <c r="AL6" t="s">
        <v>60</v>
      </c>
      <c r="AM6" t="s">
        <v>431</v>
      </c>
      <c r="AN6" t="s">
        <v>491</v>
      </c>
      <c r="AO6">
        <v>4</v>
      </c>
      <c r="AP6">
        <v>122.88</v>
      </c>
      <c r="AQ6" t="s">
        <v>60</v>
      </c>
      <c r="AR6" t="s">
        <v>394</v>
      </c>
      <c r="AS6" t="s">
        <v>60</v>
      </c>
      <c r="AT6" t="s">
        <v>492</v>
      </c>
      <c r="AU6" t="s">
        <v>492</v>
      </c>
      <c r="AV6" t="s">
        <v>493</v>
      </c>
      <c r="AW6" t="s">
        <v>494</v>
      </c>
      <c r="AX6" t="s">
        <v>495</v>
      </c>
      <c r="AY6" t="s">
        <v>58</v>
      </c>
      <c r="AZ6" t="s">
        <v>59</v>
      </c>
      <c r="BA6" t="s">
        <v>191</v>
      </c>
      <c r="BB6" t="s">
        <v>307</v>
      </c>
    </row>
    <row r="7" spans="1:54" x14ac:dyDescent="0.25">
      <c r="A7">
        <v>736</v>
      </c>
      <c r="B7" t="s">
        <v>269</v>
      </c>
      <c r="C7" t="s">
        <v>78</v>
      </c>
      <c r="D7" t="s">
        <v>13</v>
      </c>
      <c r="E7">
        <v>3</v>
      </c>
      <c r="F7">
        <v>36.089999999999996</v>
      </c>
      <c r="G7">
        <v>108.27</v>
      </c>
      <c r="H7" s="2">
        <v>45207</v>
      </c>
      <c r="I7" t="s">
        <v>264</v>
      </c>
      <c r="J7" t="s">
        <v>55</v>
      </c>
      <c r="K7" t="s">
        <v>386</v>
      </c>
      <c r="L7" t="s">
        <v>387</v>
      </c>
      <c r="M7" t="s">
        <v>443</v>
      </c>
      <c r="N7" t="s">
        <v>444</v>
      </c>
      <c r="O7" t="s">
        <v>60</v>
      </c>
      <c r="P7" t="s">
        <v>60</v>
      </c>
      <c r="Q7" t="s">
        <v>60</v>
      </c>
      <c r="R7" t="s">
        <v>60</v>
      </c>
      <c r="S7" t="s">
        <v>167</v>
      </c>
      <c r="T7" t="s">
        <v>445</v>
      </c>
      <c r="U7" t="s">
        <v>388</v>
      </c>
      <c r="V7" t="s">
        <v>389</v>
      </c>
      <c r="W7" t="s">
        <v>60</v>
      </c>
      <c r="X7" t="s">
        <v>60</v>
      </c>
      <c r="Y7" t="s">
        <v>56</v>
      </c>
      <c r="Z7" t="s">
        <v>57</v>
      </c>
      <c r="AA7" t="s">
        <v>60</v>
      </c>
      <c r="AB7" t="s">
        <v>60</v>
      </c>
      <c r="AC7" t="s">
        <v>60</v>
      </c>
      <c r="AD7" t="s">
        <v>60</v>
      </c>
      <c r="AE7" t="s">
        <v>60</v>
      </c>
      <c r="AF7" t="s">
        <v>60</v>
      </c>
      <c r="AG7" t="s">
        <v>443</v>
      </c>
      <c r="AH7" t="s">
        <v>446</v>
      </c>
      <c r="AI7">
        <v>3</v>
      </c>
      <c r="AJ7">
        <v>108.27</v>
      </c>
      <c r="AK7" t="s">
        <v>431</v>
      </c>
      <c r="AL7" t="s">
        <v>432</v>
      </c>
      <c r="AM7" t="s">
        <v>60</v>
      </c>
      <c r="AN7" t="s">
        <v>60</v>
      </c>
      <c r="AO7">
        <v>0</v>
      </c>
      <c r="AP7">
        <v>0</v>
      </c>
      <c r="AQ7" t="s">
        <v>60</v>
      </c>
      <c r="AR7" t="s">
        <v>60</v>
      </c>
      <c r="AS7" t="s">
        <v>60</v>
      </c>
      <c r="AT7" t="s">
        <v>496</v>
      </c>
      <c r="AU7" t="s">
        <v>496</v>
      </c>
      <c r="AV7" t="s">
        <v>497</v>
      </c>
      <c r="AW7" t="s">
        <v>498</v>
      </c>
      <c r="AX7" t="s">
        <v>499</v>
      </c>
      <c r="AY7" t="s">
        <v>58</v>
      </c>
      <c r="AZ7" t="s">
        <v>59</v>
      </c>
      <c r="BA7" t="s">
        <v>397</v>
      </c>
      <c r="BB7" t="s">
        <v>500</v>
      </c>
    </row>
    <row r="8" spans="1:54" x14ac:dyDescent="0.25">
      <c r="A8">
        <v>677</v>
      </c>
      <c r="B8" t="s">
        <v>136</v>
      </c>
      <c r="C8" t="s">
        <v>82</v>
      </c>
      <c r="D8" t="s">
        <v>13</v>
      </c>
      <c r="E8">
        <v>4</v>
      </c>
      <c r="F8">
        <v>30.72</v>
      </c>
      <c r="G8">
        <v>122.88</v>
      </c>
      <c r="H8" s="2">
        <v>45207</v>
      </c>
      <c r="I8" t="s">
        <v>132</v>
      </c>
      <c r="J8" t="s">
        <v>55</v>
      </c>
      <c r="K8" t="s">
        <v>90</v>
      </c>
      <c r="L8" t="s">
        <v>441</v>
      </c>
      <c r="M8" t="s">
        <v>60</v>
      </c>
      <c r="N8" t="s">
        <v>60</v>
      </c>
      <c r="O8" t="s">
        <v>60</v>
      </c>
      <c r="P8" t="s">
        <v>60</v>
      </c>
      <c r="Q8" t="s">
        <v>60</v>
      </c>
      <c r="R8" t="s">
        <v>60</v>
      </c>
      <c r="S8" t="s">
        <v>90</v>
      </c>
      <c r="T8" t="s">
        <v>441</v>
      </c>
      <c r="U8" t="s">
        <v>424</v>
      </c>
      <c r="V8" t="s">
        <v>425</v>
      </c>
      <c r="W8" t="s">
        <v>60</v>
      </c>
      <c r="X8" t="s">
        <v>60</v>
      </c>
      <c r="Y8" t="s">
        <v>56</v>
      </c>
      <c r="Z8" t="s">
        <v>57</v>
      </c>
      <c r="AA8" t="s">
        <v>90</v>
      </c>
      <c r="AB8" t="s">
        <v>442</v>
      </c>
      <c r="AC8" t="s">
        <v>135</v>
      </c>
      <c r="AD8" t="s">
        <v>294</v>
      </c>
      <c r="AE8" t="s">
        <v>60</v>
      </c>
      <c r="AF8" t="s">
        <v>60</v>
      </c>
      <c r="AG8" t="s">
        <v>60</v>
      </c>
      <c r="AH8" t="s">
        <v>60</v>
      </c>
      <c r="AI8">
        <v>0</v>
      </c>
      <c r="AJ8">
        <v>0</v>
      </c>
      <c r="AK8" t="s">
        <v>60</v>
      </c>
      <c r="AL8" t="s">
        <v>60</v>
      </c>
      <c r="AM8" t="s">
        <v>431</v>
      </c>
      <c r="AN8" t="s">
        <v>491</v>
      </c>
      <c r="AO8">
        <v>4</v>
      </c>
      <c r="AP8">
        <v>122.88</v>
      </c>
      <c r="AQ8" t="s">
        <v>60</v>
      </c>
      <c r="AR8" t="s">
        <v>60</v>
      </c>
      <c r="AS8" t="s">
        <v>60</v>
      </c>
      <c r="AT8" t="s">
        <v>501</v>
      </c>
      <c r="AU8" t="s">
        <v>501</v>
      </c>
      <c r="AV8" t="s">
        <v>502</v>
      </c>
      <c r="AW8" t="s">
        <v>503</v>
      </c>
      <c r="AX8" t="s">
        <v>504</v>
      </c>
      <c r="AY8" t="s">
        <v>58</v>
      </c>
      <c r="AZ8" t="s">
        <v>59</v>
      </c>
      <c r="BA8" t="s">
        <v>191</v>
      </c>
      <c r="BB8" t="s">
        <v>194</v>
      </c>
    </row>
    <row r="9" spans="1:54" x14ac:dyDescent="0.25">
      <c r="A9">
        <v>940</v>
      </c>
      <c r="B9" t="s">
        <v>369</v>
      </c>
      <c r="C9" t="s">
        <v>360</v>
      </c>
      <c r="D9" t="s">
        <v>13</v>
      </c>
      <c r="E9">
        <v>5</v>
      </c>
      <c r="F9">
        <v>36.089999999999996</v>
      </c>
      <c r="G9">
        <v>180.45</v>
      </c>
      <c r="H9" s="2">
        <v>45207</v>
      </c>
      <c r="I9" t="s">
        <v>168</v>
      </c>
      <c r="J9" t="s">
        <v>55</v>
      </c>
      <c r="K9" t="s">
        <v>135</v>
      </c>
      <c r="L9" t="s">
        <v>326</v>
      </c>
      <c r="M9" t="s">
        <v>447</v>
      </c>
      <c r="N9" t="s">
        <v>448</v>
      </c>
      <c r="O9" t="s">
        <v>60</v>
      </c>
      <c r="P9" t="s">
        <v>60</v>
      </c>
      <c r="Q9" t="s">
        <v>60</v>
      </c>
      <c r="R9" t="s">
        <v>60</v>
      </c>
      <c r="S9" t="s">
        <v>60</v>
      </c>
      <c r="T9" t="s">
        <v>60</v>
      </c>
      <c r="U9" t="s">
        <v>233</v>
      </c>
      <c r="V9" t="s">
        <v>328</v>
      </c>
      <c r="W9" t="s">
        <v>60</v>
      </c>
      <c r="X9" t="s">
        <v>60</v>
      </c>
      <c r="Y9" t="s">
        <v>56</v>
      </c>
      <c r="Z9" t="s">
        <v>57</v>
      </c>
      <c r="AA9" t="s">
        <v>60</v>
      </c>
      <c r="AB9" t="s">
        <v>60</v>
      </c>
      <c r="AC9" t="s">
        <v>60</v>
      </c>
      <c r="AD9" t="s">
        <v>60</v>
      </c>
      <c r="AE9" t="s">
        <v>60</v>
      </c>
      <c r="AF9" t="s">
        <v>60</v>
      </c>
      <c r="AG9" t="s">
        <v>447</v>
      </c>
      <c r="AH9" t="s">
        <v>449</v>
      </c>
      <c r="AI9">
        <v>5</v>
      </c>
      <c r="AJ9">
        <v>180.45</v>
      </c>
      <c r="AK9" t="s">
        <v>431</v>
      </c>
      <c r="AL9" t="s">
        <v>432</v>
      </c>
      <c r="AM9" t="s">
        <v>60</v>
      </c>
      <c r="AN9" t="s">
        <v>60</v>
      </c>
      <c r="AO9">
        <v>0</v>
      </c>
      <c r="AP9">
        <v>0</v>
      </c>
      <c r="AQ9" t="s">
        <v>376</v>
      </c>
      <c r="AR9" t="s">
        <v>60</v>
      </c>
      <c r="AS9" t="s">
        <v>60</v>
      </c>
      <c r="AT9" t="s">
        <v>505</v>
      </c>
      <c r="AU9" t="s">
        <v>506</v>
      </c>
      <c r="AV9" t="s">
        <v>507</v>
      </c>
      <c r="AW9" t="s">
        <v>508</v>
      </c>
      <c r="AX9" t="s">
        <v>509</v>
      </c>
      <c r="AY9" t="s">
        <v>58</v>
      </c>
      <c r="AZ9" t="s">
        <v>59</v>
      </c>
      <c r="BA9" t="s">
        <v>510</v>
      </c>
      <c r="BB9" t="s">
        <v>511</v>
      </c>
    </row>
    <row r="10" spans="1:54" x14ac:dyDescent="0.25">
      <c r="A10">
        <v>776</v>
      </c>
      <c r="B10" t="s">
        <v>283</v>
      </c>
      <c r="C10" t="s">
        <v>150</v>
      </c>
      <c r="D10" t="s">
        <v>13</v>
      </c>
      <c r="E10">
        <v>4</v>
      </c>
      <c r="F10">
        <v>36.090000000000003</v>
      </c>
      <c r="G10">
        <v>144.36000000000001</v>
      </c>
      <c r="H10" s="2">
        <v>45207</v>
      </c>
      <c r="I10" t="s">
        <v>168</v>
      </c>
      <c r="J10" t="s">
        <v>55</v>
      </c>
      <c r="K10" t="s">
        <v>135</v>
      </c>
      <c r="L10" t="s">
        <v>326</v>
      </c>
      <c r="M10" t="s">
        <v>362</v>
      </c>
      <c r="N10" t="s">
        <v>374</v>
      </c>
      <c r="O10" t="s">
        <v>60</v>
      </c>
      <c r="P10" t="s">
        <v>60</v>
      </c>
      <c r="Q10" t="s">
        <v>60</v>
      </c>
      <c r="R10" t="s">
        <v>60</v>
      </c>
      <c r="S10" t="s">
        <v>167</v>
      </c>
      <c r="T10" t="s">
        <v>445</v>
      </c>
      <c r="U10" t="s">
        <v>233</v>
      </c>
      <c r="V10" t="s">
        <v>328</v>
      </c>
      <c r="W10" t="s">
        <v>60</v>
      </c>
      <c r="X10" t="s">
        <v>60</v>
      </c>
      <c r="Y10" t="s">
        <v>56</v>
      </c>
      <c r="Z10" t="s">
        <v>57</v>
      </c>
      <c r="AA10" t="s">
        <v>60</v>
      </c>
      <c r="AB10" t="s">
        <v>60</v>
      </c>
      <c r="AC10" t="s">
        <v>60</v>
      </c>
      <c r="AD10" t="s">
        <v>60</v>
      </c>
      <c r="AE10" t="s">
        <v>60</v>
      </c>
      <c r="AF10" t="s">
        <v>60</v>
      </c>
      <c r="AG10" t="s">
        <v>362</v>
      </c>
      <c r="AH10" t="s">
        <v>375</v>
      </c>
      <c r="AI10">
        <v>4</v>
      </c>
      <c r="AJ10">
        <v>144.36000000000001</v>
      </c>
      <c r="AK10" t="s">
        <v>431</v>
      </c>
      <c r="AL10" t="s">
        <v>432</v>
      </c>
      <c r="AM10" t="s">
        <v>60</v>
      </c>
      <c r="AN10" t="s">
        <v>60</v>
      </c>
      <c r="AO10">
        <v>0</v>
      </c>
      <c r="AP10">
        <v>0</v>
      </c>
      <c r="AQ10" t="s">
        <v>121</v>
      </c>
      <c r="AR10" t="s">
        <v>60</v>
      </c>
      <c r="AS10" t="s">
        <v>60</v>
      </c>
      <c r="AT10" t="s">
        <v>512</v>
      </c>
      <c r="AU10" t="s">
        <v>513</v>
      </c>
      <c r="AV10" t="s">
        <v>514</v>
      </c>
      <c r="AW10" t="s">
        <v>515</v>
      </c>
      <c r="AX10" t="s">
        <v>516</v>
      </c>
      <c r="AY10" t="s">
        <v>58</v>
      </c>
      <c r="AZ10" t="s">
        <v>59</v>
      </c>
      <c r="BA10" t="s">
        <v>398</v>
      </c>
      <c r="BB10" t="s">
        <v>399</v>
      </c>
    </row>
    <row r="11" spans="1:54" x14ac:dyDescent="0.25">
      <c r="A11">
        <v>798</v>
      </c>
      <c r="B11" t="s">
        <v>226</v>
      </c>
      <c r="C11" t="s">
        <v>156</v>
      </c>
      <c r="D11" t="s">
        <v>13</v>
      </c>
      <c r="E11">
        <v>4</v>
      </c>
      <c r="F11">
        <v>36.090000000000003</v>
      </c>
      <c r="G11">
        <v>144.36000000000001</v>
      </c>
      <c r="H11" s="2">
        <v>45207</v>
      </c>
      <c r="I11" t="s">
        <v>168</v>
      </c>
      <c r="J11" t="s">
        <v>55</v>
      </c>
      <c r="K11" t="s">
        <v>60</v>
      </c>
      <c r="L11" t="s">
        <v>60</v>
      </c>
      <c r="M11" t="s">
        <v>169</v>
      </c>
      <c r="N11" t="s">
        <v>326</v>
      </c>
      <c r="O11" t="s">
        <v>60</v>
      </c>
      <c r="P11" t="s">
        <v>60</v>
      </c>
      <c r="Q11" t="s">
        <v>60</v>
      </c>
      <c r="R11" t="s">
        <v>60</v>
      </c>
      <c r="S11" t="s">
        <v>90</v>
      </c>
      <c r="T11" t="s">
        <v>327</v>
      </c>
      <c r="U11" t="s">
        <v>233</v>
      </c>
      <c r="V11" t="s">
        <v>328</v>
      </c>
      <c r="W11" t="s">
        <v>135</v>
      </c>
      <c r="X11" t="s">
        <v>332</v>
      </c>
      <c r="Y11" t="s">
        <v>56</v>
      </c>
      <c r="Z11" t="s">
        <v>57</v>
      </c>
      <c r="AA11" t="s">
        <v>60</v>
      </c>
      <c r="AB11" t="s">
        <v>60</v>
      </c>
      <c r="AC11" t="s">
        <v>60</v>
      </c>
      <c r="AD11" t="s">
        <v>60</v>
      </c>
      <c r="AE11" t="s">
        <v>60</v>
      </c>
      <c r="AF11" t="s">
        <v>60</v>
      </c>
      <c r="AG11" t="s">
        <v>169</v>
      </c>
      <c r="AH11" t="s">
        <v>330</v>
      </c>
      <c r="AI11">
        <v>4</v>
      </c>
      <c r="AJ11">
        <v>144.36000000000001</v>
      </c>
      <c r="AK11" t="s">
        <v>431</v>
      </c>
      <c r="AL11" t="s">
        <v>432</v>
      </c>
      <c r="AM11" t="s">
        <v>60</v>
      </c>
      <c r="AN11" t="s">
        <v>60</v>
      </c>
      <c r="AO11">
        <v>0</v>
      </c>
      <c r="AP11">
        <v>0</v>
      </c>
      <c r="AQ11" t="s">
        <v>60</v>
      </c>
      <c r="AR11" t="s">
        <v>60</v>
      </c>
      <c r="AS11" t="s">
        <v>60</v>
      </c>
      <c r="AT11" t="s">
        <v>517</v>
      </c>
      <c r="AU11" t="s">
        <v>517</v>
      </c>
      <c r="AV11" t="s">
        <v>518</v>
      </c>
      <c r="AW11" t="s">
        <v>519</v>
      </c>
      <c r="AX11" t="s">
        <v>520</v>
      </c>
      <c r="AY11" t="s">
        <v>58</v>
      </c>
      <c r="AZ11" t="s">
        <v>59</v>
      </c>
      <c r="BA11" t="s">
        <v>191</v>
      </c>
      <c r="BB11" t="s">
        <v>335</v>
      </c>
    </row>
    <row r="12" spans="1:54" x14ac:dyDescent="0.25">
      <c r="A12">
        <v>772</v>
      </c>
      <c r="B12" t="s">
        <v>333</v>
      </c>
      <c r="C12" t="s">
        <v>174</v>
      </c>
      <c r="D12" t="s">
        <v>13</v>
      </c>
      <c r="E12">
        <v>5</v>
      </c>
      <c r="F12">
        <v>36.089999999999996</v>
      </c>
      <c r="G12">
        <v>180.45</v>
      </c>
      <c r="H12" s="2">
        <v>45207</v>
      </c>
      <c r="I12" t="s">
        <v>265</v>
      </c>
      <c r="J12" t="s">
        <v>55</v>
      </c>
      <c r="K12" t="s">
        <v>135</v>
      </c>
      <c r="L12" t="s">
        <v>326</v>
      </c>
      <c r="M12" t="s">
        <v>450</v>
      </c>
      <c r="N12" t="s">
        <v>451</v>
      </c>
      <c r="O12" t="s">
        <v>60</v>
      </c>
      <c r="P12" t="s">
        <v>60</v>
      </c>
      <c r="Q12" t="s">
        <v>60</v>
      </c>
      <c r="R12" t="s">
        <v>60</v>
      </c>
      <c r="S12" t="s">
        <v>90</v>
      </c>
      <c r="T12" t="s">
        <v>327</v>
      </c>
      <c r="U12" t="s">
        <v>233</v>
      </c>
      <c r="V12" t="s">
        <v>328</v>
      </c>
      <c r="W12" t="s">
        <v>60</v>
      </c>
      <c r="X12" t="s">
        <v>60</v>
      </c>
      <c r="Y12" t="s">
        <v>56</v>
      </c>
      <c r="Z12" t="s">
        <v>57</v>
      </c>
      <c r="AA12" t="s">
        <v>60</v>
      </c>
      <c r="AB12" t="s">
        <v>60</v>
      </c>
      <c r="AC12" t="s">
        <v>60</v>
      </c>
      <c r="AD12" t="s">
        <v>60</v>
      </c>
      <c r="AE12" t="s">
        <v>60</v>
      </c>
      <c r="AF12" t="s">
        <v>60</v>
      </c>
      <c r="AG12" t="s">
        <v>450</v>
      </c>
      <c r="AH12" t="s">
        <v>452</v>
      </c>
      <c r="AI12">
        <v>5</v>
      </c>
      <c r="AJ12">
        <v>180.45</v>
      </c>
      <c r="AK12" t="s">
        <v>167</v>
      </c>
      <c r="AL12" t="s">
        <v>434</v>
      </c>
      <c r="AM12" t="s">
        <v>60</v>
      </c>
      <c r="AN12" t="s">
        <v>60</v>
      </c>
      <c r="AO12">
        <v>0</v>
      </c>
      <c r="AP12">
        <v>0</v>
      </c>
      <c r="AQ12" t="s">
        <v>121</v>
      </c>
      <c r="AR12" t="s">
        <v>60</v>
      </c>
      <c r="AS12" t="s">
        <v>60</v>
      </c>
      <c r="AT12" t="s">
        <v>521</v>
      </c>
      <c r="AU12" t="s">
        <v>522</v>
      </c>
      <c r="AV12" t="s">
        <v>523</v>
      </c>
      <c r="AW12" t="s">
        <v>524</v>
      </c>
      <c r="AX12" t="s">
        <v>525</v>
      </c>
      <c r="AY12" t="s">
        <v>58</v>
      </c>
      <c r="AZ12" t="s">
        <v>59</v>
      </c>
      <c r="BA12" t="s">
        <v>526</v>
      </c>
      <c r="BB12" t="s">
        <v>527</v>
      </c>
    </row>
    <row r="13" spans="1:54" x14ac:dyDescent="0.25">
      <c r="A13">
        <v>894</v>
      </c>
      <c r="B13" t="s">
        <v>371</v>
      </c>
      <c r="C13" t="s">
        <v>358</v>
      </c>
      <c r="D13" t="s">
        <v>13</v>
      </c>
      <c r="E13">
        <v>4</v>
      </c>
      <c r="F13">
        <v>36.090000000000003</v>
      </c>
      <c r="G13">
        <v>144.36000000000001</v>
      </c>
      <c r="H13" s="2">
        <v>45207</v>
      </c>
      <c r="I13" t="s">
        <v>168</v>
      </c>
      <c r="J13" t="s">
        <v>55</v>
      </c>
      <c r="K13" t="s">
        <v>135</v>
      </c>
      <c r="L13" t="s">
        <v>326</v>
      </c>
      <c r="M13" t="s">
        <v>453</v>
      </c>
      <c r="N13" t="s">
        <v>454</v>
      </c>
      <c r="O13" t="s">
        <v>60</v>
      </c>
      <c r="P13" t="s">
        <v>60</v>
      </c>
      <c r="Q13" t="s">
        <v>60</v>
      </c>
      <c r="R13" t="s">
        <v>60</v>
      </c>
      <c r="S13" t="s">
        <v>167</v>
      </c>
      <c r="T13" t="s">
        <v>445</v>
      </c>
      <c r="U13" t="s">
        <v>233</v>
      </c>
      <c r="V13" t="s">
        <v>328</v>
      </c>
      <c r="W13" t="s">
        <v>60</v>
      </c>
      <c r="X13" t="s">
        <v>60</v>
      </c>
      <c r="Y13" t="s">
        <v>56</v>
      </c>
      <c r="Z13" t="s">
        <v>57</v>
      </c>
      <c r="AA13" t="s">
        <v>60</v>
      </c>
      <c r="AB13" t="s">
        <v>60</v>
      </c>
      <c r="AC13" t="s">
        <v>60</v>
      </c>
      <c r="AD13" t="s">
        <v>60</v>
      </c>
      <c r="AE13" t="s">
        <v>60</v>
      </c>
      <c r="AF13" t="s">
        <v>60</v>
      </c>
      <c r="AG13" t="s">
        <v>453</v>
      </c>
      <c r="AH13" t="s">
        <v>455</v>
      </c>
      <c r="AI13">
        <v>4</v>
      </c>
      <c r="AJ13">
        <v>144.36000000000001</v>
      </c>
      <c r="AK13" t="s">
        <v>431</v>
      </c>
      <c r="AL13" t="s">
        <v>432</v>
      </c>
      <c r="AM13" t="s">
        <v>60</v>
      </c>
      <c r="AN13" t="s">
        <v>60</v>
      </c>
      <c r="AO13">
        <v>0</v>
      </c>
      <c r="AP13">
        <v>0</v>
      </c>
      <c r="AQ13" t="s">
        <v>60</v>
      </c>
      <c r="AR13" t="s">
        <v>60</v>
      </c>
      <c r="AS13" t="s">
        <v>60</v>
      </c>
      <c r="AT13" t="s">
        <v>528</v>
      </c>
      <c r="AU13" t="s">
        <v>528</v>
      </c>
      <c r="AV13" t="s">
        <v>529</v>
      </c>
      <c r="AW13" t="s">
        <v>530</v>
      </c>
      <c r="AX13" t="s">
        <v>531</v>
      </c>
      <c r="AY13" t="s">
        <v>58</v>
      </c>
      <c r="AZ13" t="s">
        <v>59</v>
      </c>
      <c r="BA13" t="s">
        <v>532</v>
      </c>
      <c r="BB13" t="s">
        <v>533</v>
      </c>
    </row>
    <row r="14" spans="1:54" x14ac:dyDescent="0.25">
      <c r="A14">
        <v>255</v>
      </c>
      <c r="B14" t="s">
        <v>64</v>
      </c>
      <c r="C14" t="s">
        <v>189</v>
      </c>
      <c r="D14" t="s">
        <v>13</v>
      </c>
      <c r="E14">
        <v>6</v>
      </c>
      <c r="F14">
        <v>30.72</v>
      </c>
      <c r="G14">
        <v>184.32</v>
      </c>
      <c r="H14" s="2">
        <v>45207</v>
      </c>
      <c r="I14" t="s">
        <v>132</v>
      </c>
      <c r="J14" t="s">
        <v>55</v>
      </c>
      <c r="K14" t="s">
        <v>60</v>
      </c>
      <c r="L14" t="s">
        <v>60</v>
      </c>
      <c r="M14" t="s">
        <v>60</v>
      </c>
      <c r="N14" t="s">
        <v>60</v>
      </c>
      <c r="O14" t="s">
        <v>60</v>
      </c>
      <c r="P14" t="s">
        <v>60</v>
      </c>
      <c r="Q14" t="s">
        <v>60</v>
      </c>
      <c r="R14" t="s">
        <v>60</v>
      </c>
      <c r="S14" t="s">
        <v>90</v>
      </c>
      <c r="T14" t="s">
        <v>441</v>
      </c>
      <c r="U14" t="s">
        <v>424</v>
      </c>
      <c r="V14" t="s">
        <v>425</v>
      </c>
      <c r="W14" t="s">
        <v>60</v>
      </c>
      <c r="X14" t="s">
        <v>60</v>
      </c>
      <c r="Y14" t="s">
        <v>56</v>
      </c>
      <c r="Z14" t="s">
        <v>57</v>
      </c>
      <c r="AA14" t="s">
        <v>135</v>
      </c>
      <c r="AB14" t="s">
        <v>294</v>
      </c>
      <c r="AC14" t="s">
        <v>234</v>
      </c>
      <c r="AD14" t="s">
        <v>426</v>
      </c>
      <c r="AE14" t="s">
        <v>60</v>
      </c>
      <c r="AF14" t="s">
        <v>60</v>
      </c>
      <c r="AG14" t="s">
        <v>60</v>
      </c>
      <c r="AH14" t="s">
        <v>60</v>
      </c>
      <c r="AI14">
        <v>0</v>
      </c>
      <c r="AJ14">
        <v>0</v>
      </c>
      <c r="AK14" t="s">
        <v>60</v>
      </c>
      <c r="AL14" t="s">
        <v>60</v>
      </c>
      <c r="AM14" t="s">
        <v>464</v>
      </c>
      <c r="AN14" t="s">
        <v>534</v>
      </c>
      <c r="AO14">
        <v>6</v>
      </c>
      <c r="AP14">
        <v>184.32</v>
      </c>
      <c r="AQ14" t="s">
        <v>121</v>
      </c>
      <c r="AR14" t="s">
        <v>60</v>
      </c>
      <c r="AS14" t="s">
        <v>60</v>
      </c>
      <c r="AT14" t="s">
        <v>535</v>
      </c>
      <c r="AU14" t="s">
        <v>536</v>
      </c>
      <c r="AV14" t="s">
        <v>537</v>
      </c>
      <c r="AW14" t="s">
        <v>538</v>
      </c>
      <c r="AX14" t="s">
        <v>539</v>
      </c>
      <c r="AY14" t="s">
        <v>58</v>
      </c>
      <c r="AZ14" t="s">
        <v>59</v>
      </c>
      <c r="BA14" t="s">
        <v>205</v>
      </c>
      <c r="BB14" t="s">
        <v>351</v>
      </c>
    </row>
    <row r="15" spans="1:54" x14ac:dyDescent="0.25">
      <c r="A15">
        <v>246</v>
      </c>
      <c r="B15" t="s">
        <v>284</v>
      </c>
      <c r="C15" t="s">
        <v>282</v>
      </c>
      <c r="D15" t="s">
        <v>13</v>
      </c>
      <c r="E15">
        <v>4</v>
      </c>
      <c r="F15">
        <v>30.72</v>
      </c>
      <c r="G15">
        <v>122.88</v>
      </c>
      <c r="H15" s="2">
        <v>45207</v>
      </c>
      <c r="I15" t="s">
        <v>220</v>
      </c>
      <c r="J15" t="s">
        <v>55</v>
      </c>
      <c r="K15" t="s">
        <v>135</v>
      </c>
      <c r="L15" t="s">
        <v>296</v>
      </c>
      <c r="M15" t="s">
        <v>60</v>
      </c>
      <c r="N15" t="s">
        <v>60</v>
      </c>
      <c r="O15" t="s">
        <v>60</v>
      </c>
      <c r="P15" t="s">
        <v>60</v>
      </c>
      <c r="Q15" t="s">
        <v>60</v>
      </c>
      <c r="R15" t="s">
        <v>60</v>
      </c>
      <c r="S15" t="s">
        <v>90</v>
      </c>
      <c r="T15" t="s">
        <v>441</v>
      </c>
      <c r="U15" t="s">
        <v>233</v>
      </c>
      <c r="V15" t="s">
        <v>295</v>
      </c>
      <c r="W15" t="s">
        <v>60</v>
      </c>
      <c r="X15" t="s">
        <v>60</v>
      </c>
      <c r="Y15" t="s">
        <v>56</v>
      </c>
      <c r="Z15" t="s">
        <v>57</v>
      </c>
      <c r="AA15" t="s">
        <v>169</v>
      </c>
      <c r="AB15" t="s">
        <v>297</v>
      </c>
      <c r="AC15" t="s">
        <v>60</v>
      </c>
      <c r="AD15" t="s">
        <v>60</v>
      </c>
      <c r="AE15" t="s">
        <v>456</v>
      </c>
      <c r="AF15" t="s">
        <v>457</v>
      </c>
      <c r="AG15" t="s">
        <v>60</v>
      </c>
      <c r="AH15" t="s">
        <v>60</v>
      </c>
      <c r="AI15">
        <v>0</v>
      </c>
      <c r="AJ15">
        <v>0</v>
      </c>
      <c r="AK15" t="s">
        <v>60</v>
      </c>
      <c r="AL15" t="s">
        <v>60</v>
      </c>
      <c r="AM15" t="s">
        <v>431</v>
      </c>
      <c r="AN15" t="s">
        <v>491</v>
      </c>
      <c r="AO15">
        <v>4</v>
      </c>
      <c r="AP15">
        <v>122.88</v>
      </c>
      <c r="AQ15" t="s">
        <v>60</v>
      </c>
      <c r="AR15" t="s">
        <v>60</v>
      </c>
      <c r="AS15" t="s">
        <v>60</v>
      </c>
      <c r="AT15" t="s">
        <v>540</v>
      </c>
      <c r="AU15" t="s">
        <v>540</v>
      </c>
      <c r="AV15" t="s">
        <v>541</v>
      </c>
      <c r="AW15" t="s">
        <v>542</v>
      </c>
      <c r="AX15" t="s">
        <v>543</v>
      </c>
      <c r="AY15" t="s">
        <v>58</v>
      </c>
      <c r="AZ15" t="s">
        <v>59</v>
      </c>
      <c r="BA15" t="s">
        <v>191</v>
      </c>
      <c r="BB15" t="s">
        <v>307</v>
      </c>
    </row>
    <row r="16" spans="1:54" x14ac:dyDescent="0.25">
      <c r="A16">
        <v>790</v>
      </c>
      <c r="B16" t="s">
        <v>176</v>
      </c>
      <c r="C16" t="s">
        <v>111</v>
      </c>
      <c r="D16" t="s">
        <v>13</v>
      </c>
      <c r="E16">
        <v>4</v>
      </c>
      <c r="F16">
        <v>30.72</v>
      </c>
      <c r="G16">
        <v>122.88</v>
      </c>
      <c r="H16" s="2">
        <v>45207</v>
      </c>
      <c r="I16" t="s">
        <v>132</v>
      </c>
      <c r="J16" t="s">
        <v>55</v>
      </c>
      <c r="K16" t="s">
        <v>135</v>
      </c>
      <c r="L16" t="s">
        <v>296</v>
      </c>
      <c r="M16" t="s">
        <v>60</v>
      </c>
      <c r="N16" t="s">
        <v>60</v>
      </c>
      <c r="O16" t="s">
        <v>60</v>
      </c>
      <c r="P16" t="s">
        <v>60</v>
      </c>
      <c r="Q16" t="s">
        <v>60</v>
      </c>
      <c r="R16" t="s">
        <v>60</v>
      </c>
      <c r="S16" t="s">
        <v>60</v>
      </c>
      <c r="T16" t="s">
        <v>60</v>
      </c>
      <c r="U16" t="s">
        <v>233</v>
      </c>
      <c r="V16" t="s">
        <v>295</v>
      </c>
      <c r="W16" t="s">
        <v>60</v>
      </c>
      <c r="X16" t="s">
        <v>60</v>
      </c>
      <c r="Y16" t="s">
        <v>56</v>
      </c>
      <c r="Z16" t="s">
        <v>57</v>
      </c>
      <c r="AA16" t="s">
        <v>169</v>
      </c>
      <c r="AB16" t="s">
        <v>297</v>
      </c>
      <c r="AC16" t="s">
        <v>60</v>
      </c>
      <c r="AD16" t="s">
        <v>60</v>
      </c>
      <c r="AE16" t="s">
        <v>60</v>
      </c>
      <c r="AF16" t="s">
        <v>60</v>
      </c>
      <c r="AG16" t="s">
        <v>60</v>
      </c>
      <c r="AH16" t="s">
        <v>60</v>
      </c>
      <c r="AI16">
        <v>0</v>
      </c>
      <c r="AJ16">
        <v>0</v>
      </c>
      <c r="AK16" t="s">
        <v>60</v>
      </c>
      <c r="AL16" t="s">
        <v>60</v>
      </c>
      <c r="AM16" t="s">
        <v>133</v>
      </c>
      <c r="AN16" t="s">
        <v>306</v>
      </c>
      <c r="AO16">
        <v>4</v>
      </c>
      <c r="AP16">
        <v>122.88</v>
      </c>
      <c r="AQ16" t="s">
        <v>60</v>
      </c>
      <c r="AR16" t="s">
        <v>60</v>
      </c>
      <c r="AS16" t="s">
        <v>60</v>
      </c>
      <c r="AT16" t="s">
        <v>318</v>
      </c>
      <c r="AU16" t="s">
        <v>318</v>
      </c>
      <c r="AV16" t="s">
        <v>544</v>
      </c>
      <c r="AW16" t="s">
        <v>545</v>
      </c>
      <c r="AX16" t="s">
        <v>396</v>
      </c>
      <c r="AY16" t="s">
        <v>58</v>
      </c>
      <c r="AZ16" t="s">
        <v>59</v>
      </c>
      <c r="BA16" t="s">
        <v>191</v>
      </c>
      <c r="BB16" t="s">
        <v>194</v>
      </c>
    </row>
    <row r="17" spans="1:54" x14ac:dyDescent="0.25">
      <c r="A17">
        <v>794</v>
      </c>
      <c r="B17" t="s">
        <v>391</v>
      </c>
      <c r="C17" t="s">
        <v>325</v>
      </c>
      <c r="D17" t="s">
        <v>13</v>
      </c>
      <c r="E17">
        <v>6</v>
      </c>
      <c r="F17">
        <v>36.089999999999996</v>
      </c>
      <c r="G17">
        <v>216.54</v>
      </c>
      <c r="H17" s="2">
        <v>45207</v>
      </c>
      <c r="I17" t="s">
        <v>168</v>
      </c>
      <c r="J17" t="s">
        <v>55</v>
      </c>
      <c r="K17" t="s">
        <v>135</v>
      </c>
      <c r="L17" t="s">
        <v>326</v>
      </c>
      <c r="M17" t="s">
        <v>372</v>
      </c>
      <c r="N17" t="s">
        <v>373</v>
      </c>
      <c r="O17" t="s">
        <v>60</v>
      </c>
      <c r="P17" t="s">
        <v>60</v>
      </c>
      <c r="Q17" t="s">
        <v>60</v>
      </c>
      <c r="R17" t="s">
        <v>60</v>
      </c>
      <c r="S17" t="s">
        <v>90</v>
      </c>
      <c r="T17" t="s">
        <v>327</v>
      </c>
      <c r="U17" t="s">
        <v>233</v>
      </c>
      <c r="V17" t="s">
        <v>328</v>
      </c>
      <c r="W17" t="s">
        <v>60</v>
      </c>
      <c r="X17" t="s">
        <v>60</v>
      </c>
      <c r="Y17" t="s">
        <v>56</v>
      </c>
      <c r="Z17" t="s">
        <v>57</v>
      </c>
      <c r="AA17" t="s">
        <v>60</v>
      </c>
      <c r="AB17" t="s">
        <v>60</v>
      </c>
      <c r="AC17" t="s">
        <v>60</v>
      </c>
      <c r="AD17" t="s">
        <v>60</v>
      </c>
      <c r="AE17" t="s">
        <v>60</v>
      </c>
      <c r="AF17" t="s">
        <v>60</v>
      </c>
      <c r="AG17" t="s">
        <v>372</v>
      </c>
      <c r="AH17" t="s">
        <v>458</v>
      </c>
      <c r="AI17">
        <v>6</v>
      </c>
      <c r="AJ17">
        <v>216.54</v>
      </c>
      <c r="AK17" t="s">
        <v>167</v>
      </c>
      <c r="AL17" t="s">
        <v>434</v>
      </c>
      <c r="AM17" t="s">
        <v>60</v>
      </c>
      <c r="AN17" t="s">
        <v>60</v>
      </c>
      <c r="AO17">
        <v>0</v>
      </c>
      <c r="AP17">
        <v>0</v>
      </c>
      <c r="AQ17" t="s">
        <v>60</v>
      </c>
      <c r="AR17" t="s">
        <v>60</v>
      </c>
      <c r="AS17" t="s">
        <v>60</v>
      </c>
      <c r="AT17" t="s">
        <v>546</v>
      </c>
      <c r="AU17" t="s">
        <v>546</v>
      </c>
      <c r="AV17" t="s">
        <v>547</v>
      </c>
      <c r="AW17" t="s">
        <v>548</v>
      </c>
      <c r="AX17" t="s">
        <v>549</v>
      </c>
      <c r="AY17" t="s">
        <v>58</v>
      </c>
      <c r="AZ17" t="s">
        <v>59</v>
      </c>
      <c r="BA17" t="s">
        <v>550</v>
      </c>
      <c r="BB17" t="s">
        <v>551</v>
      </c>
    </row>
    <row r="18" spans="1:54" x14ac:dyDescent="0.25">
      <c r="A18">
        <v>667</v>
      </c>
      <c r="B18" t="s">
        <v>170</v>
      </c>
      <c r="C18" t="s">
        <v>348</v>
      </c>
      <c r="D18" t="s">
        <v>13</v>
      </c>
      <c r="E18">
        <v>4</v>
      </c>
      <c r="F18">
        <v>36.090000000000003</v>
      </c>
      <c r="G18">
        <v>144.36000000000001</v>
      </c>
      <c r="H18" s="2">
        <v>45207</v>
      </c>
      <c r="I18" t="s">
        <v>168</v>
      </c>
      <c r="J18" t="s">
        <v>55</v>
      </c>
      <c r="K18" t="s">
        <v>60</v>
      </c>
      <c r="L18" t="s">
        <v>60</v>
      </c>
      <c r="M18" t="s">
        <v>169</v>
      </c>
      <c r="N18" t="s">
        <v>326</v>
      </c>
      <c r="O18" t="s">
        <v>60</v>
      </c>
      <c r="P18" t="s">
        <v>60</v>
      </c>
      <c r="Q18" t="s">
        <v>60</v>
      </c>
      <c r="R18" t="s">
        <v>60</v>
      </c>
      <c r="S18" t="s">
        <v>90</v>
      </c>
      <c r="T18" t="s">
        <v>327</v>
      </c>
      <c r="U18" t="s">
        <v>233</v>
      </c>
      <c r="V18" t="s">
        <v>328</v>
      </c>
      <c r="W18" t="s">
        <v>135</v>
      </c>
      <c r="X18" t="s">
        <v>332</v>
      </c>
      <c r="Y18" t="s">
        <v>56</v>
      </c>
      <c r="Z18" t="s">
        <v>57</v>
      </c>
      <c r="AA18" t="s">
        <v>60</v>
      </c>
      <c r="AB18" t="s">
        <v>60</v>
      </c>
      <c r="AC18" t="s">
        <v>60</v>
      </c>
      <c r="AD18" t="s">
        <v>60</v>
      </c>
      <c r="AE18" t="s">
        <v>60</v>
      </c>
      <c r="AF18" t="s">
        <v>60</v>
      </c>
      <c r="AG18" t="s">
        <v>169</v>
      </c>
      <c r="AH18" t="s">
        <v>330</v>
      </c>
      <c r="AI18">
        <v>4</v>
      </c>
      <c r="AJ18">
        <v>144.36000000000001</v>
      </c>
      <c r="AK18" t="s">
        <v>431</v>
      </c>
      <c r="AL18" t="s">
        <v>432</v>
      </c>
      <c r="AM18" t="s">
        <v>60</v>
      </c>
      <c r="AN18" t="s">
        <v>60</v>
      </c>
      <c r="AO18">
        <v>0</v>
      </c>
      <c r="AP18">
        <v>0</v>
      </c>
      <c r="AQ18" t="s">
        <v>60</v>
      </c>
      <c r="AR18" t="s">
        <v>60</v>
      </c>
      <c r="AS18" t="s">
        <v>60</v>
      </c>
      <c r="AT18" t="s">
        <v>517</v>
      </c>
      <c r="AU18" t="s">
        <v>517</v>
      </c>
      <c r="AV18" t="s">
        <v>552</v>
      </c>
      <c r="AW18" t="s">
        <v>553</v>
      </c>
      <c r="AX18" t="s">
        <v>520</v>
      </c>
      <c r="AY18" t="s">
        <v>58</v>
      </c>
      <c r="AZ18" t="s">
        <v>59</v>
      </c>
      <c r="BA18" t="s">
        <v>191</v>
      </c>
      <c r="BB18" t="s">
        <v>335</v>
      </c>
    </row>
    <row r="19" spans="1:54" x14ac:dyDescent="0.25">
      <c r="A19">
        <v>115</v>
      </c>
      <c r="B19" t="s">
        <v>298</v>
      </c>
      <c r="C19" t="s">
        <v>293</v>
      </c>
      <c r="D19" t="s">
        <v>13</v>
      </c>
      <c r="E19">
        <v>6</v>
      </c>
      <c r="F19">
        <v>36.089999999999996</v>
      </c>
      <c r="G19">
        <v>216.54</v>
      </c>
      <c r="H19" s="2">
        <v>45207</v>
      </c>
      <c r="I19" t="s">
        <v>168</v>
      </c>
      <c r="J19" t="s">
        <v>55</v>
      </c>
      <c r="K19" t="s">
        <v>135</v>
      </c>
      <c r="L19" t="s">
        <v>326</v>
      </c>
      <c r="M19" t="s">
        <v>372</v>
      </c>
      <c r="N19" t="s">
        <v>373</v>
      </c>
      <c r="O19" t="s">
        <v>60</v>
      </c>
      <c r="P19" t="s">
        <v>60</v>
      </c>
      <c r="Q19" t="s">
        <v>60</v>
      </c>
      <c r="R19" t="s">
        <v>60</v>
      </c>
      <c r="S19" t="s">
        <v>464</v>
      </c>
      <c r="T19" t="s">
        <v>465</v>
      </c>
      <c r="U19" t="s">
        <v>233</v>
      </c>
      <c r="V19" t="s">
        <v>328</v>
      </c>
      <c r="W19" t="s">
        <v>60</v>
      </c>
      <c r="X19" t="s">
        <v>60</v>
      </c>
      <c r="Y19" t="s">
        <v>56</v>
      </c>
      <c r="Z19" t="s">
        <v>57</v>
      </c>
      <c r="AA19" t="s">
        <v>60</v>
      </c>
      <c r="AB19" t="s">
        <v>60</v>
      </c>
      <c r="AC19" t="s">
        <v>60</v>
      </c>
      <c r="AD19" t="s">
        <v>60</v>
      </c>
      <c r="AE19" t="s">
        <v>60</v>
      </c>
      <c r="AF19" t="s">
        <v>60</v>
      </c>
      <c r="AG19" t="s">
        <v>372</v>
      </c>
      <c r="AH19" t="s">
        <v>458</v>
      </c>
      <c r="AI19">
        <v>6</v>
      </c>
      <c r="AJ19">
        <v>216.54</v>
      </c>
      <c r="AK19" t="s">
        <v>167</v>
      </c>
      <c r="AL19" t="s">
        <v>434</v>
      </c>
      <c r="AM19" t="s">
        <v>60</v>
      </c>
      <c r="AN19" t="s">
        <v>60</v>
      </c>
      <c r="AO19">
        <v>0</v>
      </c>
      <c r="AP19">
        <v>0</v>
      </c>
      <c r="AQ19" t="s">
        <v>60</v>
      </c>
      <c r="AR19" t="s">
        <v>60</v>
      </c>
      <c r="AS19" t="s">
        <v>60</v>
      </c>
      <c r="AT19" t="s">
        <v>554</v>
      </c>
      <c r="AU19" t="s">
        <v>554</v>
      </c>
      <c r="AV19" t="s">
        <v>555</v>
      </c>
      <c r="AW19" t="s">
        <v>556</v>
      </c>
      <c r="AX19" t="s">
        <v>557</v>
      </c>
      <c r="AY19" t="s">
        <v>58</v>
      </c>
      <c r="AZ19" t="s">
        <v>59</v>
      </c>
      <c r="BA19" t="s">
        <v>550</v>
      </c>
      <c r="BB19" t="s">
        <v>551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91A11-27A1-4216-9821-EAAA6C0FA533}">
  <sheetPr codeName="Sheet5">
    <tabColor theme="9"/>
  </sheetPr>
  <dimension ref="A1:BL21"/>
  <sheetViews>
    <sheetView workbookViewId="0">
      <selection sqref="A1:BL21"/>
    </sheetView>
  </sheetViews>
  <sheetFormatPr defaultRowHeight="15" x14ac:dyDescent="0.25"/>
  <cols>
    <col min="1" max="1" width="20.140625" bestFit="1" customWidth="1"/>
    <col min="2" max="3" width="11.85546875" bestFit="1" customWidth="1"/>
    <col min="4" max="4" width="23.5703125" bestFit="1" customWidth="1"/>
    <col min="5" max="5" width="7.140625" bestFit="1" customWidth="1"/>
    <col min="6" max="6" width="11.5703125" bestFit="1" customWidth="1"/>
    <col min="7" max="7" width="14.7109375" bestFit="1" customWidth="1"/>
    <col min="8" max="8" width="10.85546875" style="2" bestFit="1" customWidth="1"/>
    <col min="9" max="9" width="13.5703125" bestFit="1" customWidth="1"/>
    <col min="10" max="10" width="20.7109375" bestFit="1" customWidth="1"/>
    <col min="11" max="11" width="21.42578125" bestFit="1" customWidth="1"/>
    <col min="12" max="12" width="19.140625" bestFit="1" customWidth="1"/>
    <col min="13" max="13" width="20" bestFit="1" customWidth="1"/>
    <col min="14" max="14" width="17.7109375" bestFit="1" customWidth="1"/>
    <col min="15" max="15" width="20.42578125" bestFit="1" customWidth="1"/>
    <col min="16" max="16" width="18.140625" bestFit="1" customWidth="1"/>
    <col min="17" max="17" width="28" bestFit="1" customWidth="1"/>
    <col min="18" max="18" width="25.7109375" bestFit="1" customWidth="1"/>
    <col min="19" max="19" width="18" bestFit="1" customWidth="1"/>
    <col min="20" max="20" width="15.85546875" bestFit="1" customWidth="1"/>
    <col min="21" max="21" width="17" bestFit="1" customWidth="1"/>
    <col min="22" max="22" width="14.7109375" bestFit="1" customWidth="1"/>
    <col min="23" max="23" width="23" bestFit="1" customWidth="1"/>
    <col min="24" max="24" width="20.85546875" bestFit="1" customWidth="1"/>
    <col min="25" max="26" width="13.140625" bestFit="1" customWidth="1"/>
    <col min="27" max="27" width="20" bestFit="1" customWidth="1"/>
    <col min="28" max="28" width="17.7109375" bestFit="1" customWidth="1"/>
    <col min="29" max="29" width="20.42578125" bestFit="1" customWidth="1"/>
    <col min="30" max="30" width="18.140625" bestFit="1" customWidth="1"/>
    <col min="31" max="31" width="20.7109375" bestFit="1" customWidth="1"/>
    <col min="32" max="32" width="18.42578125" bestFit="1" customWidth="1"/>
    <col min="33" max="33" width="42.28515625" bestFit="1" customWidth="1"/>
    <col min="34" max="34" width="40" bestFit="1" customWidth="1"/>
    <col min="35" max="35" width="32.85546875" bestFit="1" customWidth="1"/>
    <col min="36" max="36" width="29.140625" bestFit="1" customWidth="1"/>
    <col min="37" max="37" width="32" bestFit="1" customWidth="1"/>
    <col min="38" max="38" width="27.28515625" bestFit="1" customWidth="1"/>
    <col min="39" max="39" width="32.7109375" bestFit="1" customWidth="1"/>
    <col min="40" max="40" width="28.140625" bestFit="1" customWidth="1"/>
    <col min="41" max="41" width="40" bestFit="1" customWidth="1"/>
    <col min="42" max="42" width="36.42578125" bestFit="1" customWidth="1"/>
    <col min="43" max="43" width="33.140625" bestFit="1" customWidth="1"/>
    <col min="44" max="44" width="15.42578125" bestFit="1" customWidth="1"/>
    <col min="45" max="45" width="13.140625" bestFit="1" customWidth="1"/>
    <col min="46" max="46" width="8.5703125" bestFit="1" customWidth="1"/>
    <col min="47" max="47" width="17.28515625" bestFit="1" customWidth="1"/>
    <col min="48" max="48" width="11.140625" bestFit="1" customWidth="1"/>
    <col min="49" max="49" width="7.5703125" bestFit="1" customWidth="1"/>
    <col min="50" max="50" width="17.5703125" bestFit="1" customWidth="1"/>
    <col min="51" max="51" width="21" bestFit="1" customWidth="1"/>
    <col min="52" max="52" width="34.42578125" bestFit="1" customWidth="1"/>
    <col min="53" max="53" width="27.42578125" bestFit="1" customWidth="1"/>
    <col min="54" max="54" width="27.140625" bestFit="1" customWidth="1"/>
    <col min="55" max="55" width="24.140625" bestFit="1" customWidth="1"/>
    <col min="56" max="56" width="11.140625" bestFit="1" customWidth="1"/>
    <col min="57" max="57" width="5.28515625" bestFit="1" customWidth="1"/>
    <col min="58" max="60" width="5.28515625" customWidth="1"/>
    <col min="61" max="61" width="18.28515625" bestFit="1" customWidth="1"/>
    <col min="62" max="62" width="16" bestFit="1" customWidth="1"/>
    <col min="63" max="63" width="26.42578125" bestFit="1" customWidth="1"/>
    <col min="64" max="66" width="24.28515625" bestFit="1" customWidth="1"/>
    <col min="67" max="69" width="5.28515625" bestFit="1" customWidth="1"/>
    <col min="70" max="70" width="18.28515625" bestFit="1" customWidth="1"/>
    <col min="71" max="71" width="16" bestFit="1" customWidth="1"/>
    <col min="72" max="72" width="26.42578125" bestFit="1" customWidth="1"/>
    <col min="73" max="73" width="24.28515625" bestFit="1" customWidth="1"/>
    <col min="74" max="74" width="27.140625" bestFit="1" customWidth="1"/>
    <col min="75" max="75" width="11.140625" bestFit="1" customWidth="1"/>
    <col min="76" max="77" width="5.28515625" customWidth="1"/>
    <col min="78" max="78" width="18.28515625" bestFit="1" customWidth="1"/>
    <col min="79" max="79" width="16" bestFit="1" customWidth="1"/>
    <col min="80" max="80" width="26.42578125" bestFit="1" customWidth="1"/>
    <col min="81" max="81" width="24.28515625" bestFit="1" customWidth="1"/>
    <col min="82" max="84" width="5.28515625" bestFit="1" customWidth="1"/>
    <col min="85" max="87" width="6.28515625" bestFit="1" customWidth="1"/>
    <col min="88" max="88" width="18.28515625" bestFit="1" customWidth="1"/>
    <col min="89" max="89" width="16" bestFit="1" customWidth="1"/>
    <col min="90" max="90" width="26.42578125" bestFit="1" customWidth="1"/>
    <col min="91" max="91" width="24.28515625" bestFit="1" customWidth="1"/>
    <col min="92" max="94" width="5.28515625" bestFit="1" customWidth="1"/>
    <col min="95" max="95" width="18.28515625" bestFit="1" customWidth="1"/>
    <col min="96" max="96" width="16" bestFit="1" customWidth="1"/>
    <col min="97" max="97" width="26.42578125" bestFit="1" customWidth="1"/>
    <col min="98" max="98" width="24.28515625" bestFit="1" customWidth="1"/>
    <col min="99" max="99" width="26.42578125" bestFit="1" customWidth="1"/>
    <col min="100" max="100" width="24.28515625" bestFit="1" customWidth="1"/>
    <col min="101" max="101" width="11.140625" bestFit="1" customWidth="1"/>
    <col min="102" max="102" width="5.28515625" bestFit="1" customWidth="1"/>
    <col min="103" max="103" width="18.28515625" bestFit="1" customWidth="1"/>
    <col min="104" max="104" width="16" bestFit="1" customWidth="1"/>
    <col min="105" max="105" width="26.42578125" bestFit="1" customWidth="1"/>
    <col min="106" max="106" width="24.28515625" bestFit="1" customWidth="1"/>
    <col min="107" max="107" width="18.7109375" bestFit="1" customWidth="1"/>
    <col min="108" max="108" width="11.140625" bestFit="1" customWidth="1"/>
    <col min="109" max="112" width="5.28515625" bestFit="1" customWidth="1"/>
    <col min="113" max="113" width="18.28515625" bestFit="1" customWidth="1"/>
    <col min="114" max="114" width="16" bestFit="1" customWidth="1"/>
    <col min="115" max="115" width="26.42578125" bestFit="1" customWidth="1"/>
    <col min="116" max="117" width="24.28515625" bestFit="1" customWidth="1"/>
    <col min="118" max="119" width="5.28515625" customWidth="1"/>
    <col min="120" max="120" width="18.28515625" bestFit="1" customWidth="1"/>
    <col min="121" max="121" width="16" bestFit="1" customWidth="1"/>
    <col min="122" max="122" width="26.42578125" bestFit="1" customWidth="1"/>
    <col min="123" max="123" width="24.28515625" bestFit="1" customWidth="1"/>
    <col min="124" max="126" width="5.28515625" customWidth="1"/>
    <col min="127" max="127" width="18.28515625" bestFit="1" customWidth="1"/>
    <col min="128" max="128" width="16" bestFit="1" customWidth="1"/>
    <col min="129" max="129" width="26.42578125" bestFit="1" customWidth="1"/>
    <col min="130" max="130" width="24.28515625" bestFit="1" customWidth="1"/>
    <col min="131" max="131" width="26.42578125" bestFit="1" customWidth="1"/>
    <col min="132" max="132" width="24.28515625" bestFit="1" customWidth="1"/>
    <col min="133" max="133" width="16" bestFit="1" customWidth="1"/>
    <col min="134" max="134" width="26.42578125" bestFit="1" customWidth="1"/>
    <col min="135" max="135" width="24.28515625" bestFit="1" customWidth="1"/>
    <col min="136" max="136" width="5.28515625" customWidth="1"/>
    <col min="137" max="137" width="18.28515625" bestFit="1" customWidth="1"/>
    <col min="138" max="138" width="16" bestFit="1" customWidth="1"/>
    <col min="139" max="139" width="26.42578125" bestFit="1" customWidth="1"/>
    <col min="140" max="140" width="24.28515625" bestFit="1" customWidth="1"/>
    <col min="141" max="143" width="5.28515625" customWidth="1"/>
    <col min="144" max="144" width="18.28515625" bestFit="1" customWidth="1"/>
    <col min="145" max="145" width="16" bestFit="1" customWidth="1"/>
    <col min="146" max="146" width="26.42578125" bestFit="1" customWidth="1"/>
    <col min="147" max="147" width="24.28515625" bestFit="1" customWidth="1"/>
    <col min="148" max="150" width="5.28515625" customWidth="1"/>
    <col min="151" max="151" width="18.28515625" bestFit="1" customWidth="1"/>
    <col min="152" max="152" width="16" bestFit="1" customWidth="1"/>
    <col min="153" max="153" width="26.42578125" bestFit="1" customWidth="1"/>
    <col min="154" max="154" width="24.28515625" bestFit="1" customWidth="1"/>
    <col min="155" max="156" width="5.28515625" bestFit="1" customWidth="1"/>
    <col min="157" max="157" width="5.28515625" customWidth="1"/>
    <col min="158" max="158" width="18.28515625" bestFit="1" customWidth="1"/>
    <col min="159" max="159" width="16" bestFit="1" customWidth="1"/>
    <col min="160" max="160" width="26.42578125" bestFit="1" customWidth="1"/>
    <col min="161" max="161" width="24.28515625" bestFit="1" customWidth="1"/>
    <col min="162" max="162" width="5.28515625" bestFit="1" customWidth="1"/>
    <col min="163" max="163" width="18.28515625" bestFit="1" customWidth="1"/>
    <col min="164" max="164" width="16" bestFit="1" customWidth="1"/>
    <col min="165" max="165" width="26.42578125" bestFit="1" customWidth="1"/>
    <col min="166" max="166" width="24.28515625" bestFit="1" customWidth="1"/>
    <col min="167" max="167" width="26.42578125" bestFit="1" customWidth="1"/>
    <col min="168" max="168" width="24.28515625" bestFit="1" customWidth="1"/>
    <col min="169" max="170" width="5.28515625" bestFit="1" customWidth="1"/>
    <col min="171" max="171" width="18.28515625" bestFit="1" customWidth="1"/>
    <col min="172" max="172" width="16" bestFit="1" customWidth="1"/>
    <col min="173" max="173" width="26.42578125" bestFit="1" customWidth="1"/>
    <col min="174" max="174" width="24.28515625" bestFit="1" customWidth="1"/>
    <col min="175" max="175" width="16" bestFit="1" customWidth="1"/>
    <col min="176" max="176" width="26.42578125" bestFit="1" customWidth="1"/>
    <col min="177" max="177" width="24.28515625" bestFit="1" customWidth="1"/>
    <col min="178" max="178" width="18.28515625" bestFit="1" customWidth="1"/>
    <col min="179" max="179" width="16" bestFit="1" customWidth="1"/>
    <col min="180" max="180" width="26.42578125" bestFit="1" customWidth="1"/>
    <col min="181" max="181" width="24.28515625" bestFit="1" customWidth="1"/>
    <col min="182" max="182" width="26.42578125" bestFit="1" customWidth="1"/>
    <col min="183" max="183" width="24.28515625" bestFit="1" customWidth="1"/>
    <col min="184" max="185" width="5.28515625" customWidth="1"/>
    <col min="186" max="186" width="18.28515625" bestFit="1" customWidth="1"/>
    <col min="187" max="187" width="16" bestFit="1" customWidth="1"/>
    <col min="188" max="188" width="26.42578125" bestFit="1" customWidth="1"/>
    <col min="189" max="189" width="24.28515625" bestFit="1" customWidth="1"/>
    <col min="190" max="192" width="5.28515625" bestFit="1" customWidth="1"/>
    <col min="193" max="193" width="6.28515625" bestFit="1" customWidth="1"/>
    <col min="194" max="194" width="18.28515625" bestFit="1" customWidth="1"/>
    <col min="195" max="195" width="16" bestFit="1" customWidth="1"/>
    <col min="196" max="196" width="26.42578125" bestFit="1" customWidth="1"/>
    <col min="197" max="197" width="24.28515625" bestFit="1" customWidth="1"/>
    <col min="198" max="199" width="5.140625" customWidth="1"/>
    <col min="200" max="200" width="17.5703125" bestFit="1" customWidth="1"/>
    <col min="201" max="201" width="15.42578125" bestFit="1" customWidth="1"/>
    <col min="202" max="202" width="25.42578125" bestFit="1" customWidth="1"/>
    <col min="203" max="203" width="23.28515625" bestFit="1" customWidth="1"/>
    <col min="204" max="205" width="6.140625" bestFit="1" customWidth="1"/>
    <col min="206" max="206" width="17.5703125" bestFit="1" customWidth="1"/>
    <col min="207" max="207" width="15.42578125" bestFit="1" customWidth="1"/>
    <col min="208" max="208" width="25.42578125" bestFit="1" customWidth="1"/>
    <col min="209" max="209" width="23.28515625" bestFit="1" customWidth="1"/>
    <col min="210" max="210" width="33" bestFit="1" customWidth="1"/>
    <col min="211" max="211" width="18" bestFit="1" customWidth="1"/>
    <col min="212" max="212" width="10.7109375" bestFit="1" customWidth="1"/>
    <col min="213" max="215" width="5.140625" bestFit="1" customWidth="1"/>
    <col min="216" max="216" width="17.5703125" bestFit="1" customWidth="1"/>
    <col min="217" max="217" width="15.42578125" bestFit="1" customWidth="1"/>
    <col min="218" max="218" width="25.42578125" bestFit="1" customWidth="1"/>
    <col min="219" max="219" width="23.28515625" bestFit="1" customWidth="1"/>
    <col min="220" max="220" width="18.28515625" bestFit="1" customWidth="1"/>
    <col min="221" max="221" width="16" bestFit="1" customWidth="1"/>
    <col min="222" max="222" width="26.42578125" bestFit="1" customWidth="1"/>
    <col min="223" max="223" width="24.28515625" bestFit="1" customWidth="1"/>
    <col min="224" max="224" width="18.7109375" bestFit="1" customWidth="1"/>
    <col min="225" max="225" width="11.140625" bestFit="1" customWidth="1"/>
    <col min="226" max="226" width="18.28515625" bestFit="1" customWidth="1"/>
    <col min="227" max="227" width="16" bestFit="1" customWidth="1"/>
    <col min="228" max="228" width="26.42578125" bestFit="1" customWidth="1"/>
    <col min="229" max="229" width="24.28515625" bestFit="1" customWidth="1"/>
    <col min="230" max="230" width="18.28515625" bestFit="1" customWidth="1"/>
    <col min="231" max="231" width="16" bestFit="1" customWidth="1"/>
    <col min="232" max="232" width="26.42578125" bestFit="1" customWidth="1"/>
    <col min="233" max="233" width="24.28515625" bestFit="1" customWidth="1"/>
    <col min="234" max="237" width="5.28515625" customWidth="1"/>
    <col min="238" max="238" width="18.28515625" bestFit="1" customWidth="1"/>
    <col min="239" max="239" width="16" bestFit="1" customWidth="1"/>
    <col min="240" max="240" width="26.42578125" bestFit="1" customWidth="1"/>
    <col min="241" max="241" width="24.28515625" bestFit="1" customWidth="1"/>
    <col min="242" max="242" width="5.28515625" customWidth="1"/>
    <col min="243" max="243" width="18.28515625" bestFit="1" customWidth="1"/>
    <col min="244" max="244" width="16" bestFit="1" customWidth="1"/>
    <col min="245" max="245" width="26.42578125" bestFit="1" customWidth="1"/>
    <col min="246" max="246" width="24.28515625" bestFit="1" customWidth="1"/>
    <col min="247" max="248" width="5.28515625" customWidth="1"/>
    <col min="249" max="249" width="18.28515625" bestFit="1" customWidth="1"/>
    <col min="250" max="250" width="16" bestFit="1" customWidth="1"/>
    <col min="251" max="251" width="26.42578125" bestFit="1" customWidth="1"/>
    <col min="252" max="252" width="24.28515625" bestFit="1" customWidth="1"/>
    <col min="253" max="255" width="5.28515625" bestFit="1" customWidth="1"/>
    <col min="256" max="256" width="6.28515625" bestFit="1" customWidth="1"/>
    <col min="257" max="257" width="18.28515625" bestFit="1" customWidth="1"/>
    <col min="258" max="258" width="16" bestFit="1" customWidth="1"/>
    <col min="259" max="259" width="26.42578125" bestFit="1" customWidth="1"/>
    <col min="260" max="260" width="24.28515625" bestFit="1" customWidth="1"/>
    <col min="261" max="261" width="18.28515625" bestFit="1" customWidth="1"/>
    <col min="262" max="262" width="16" bestFit="1" customWidth="1"/>
    <col min="263" max="263" width="26.42578125" bestFit="1" customWidth="1"/>
    <col min="264" max="264" width="24.28515625" bestFit="1" customWidth="1"/>
    <col min="265" max="265" width="18.28515625" bestFit="1" customWidth="1"/>
    <col min="266" max="266" width="16" bestFit="1" customWidth="1"/>
    <col min="267" max="267" width="26.42578125" bestFit="1" customWidth="1"/>
    <col min="268" max="268" width="24.28515625" bestFit="1" customWidth="1"/>
    <col min="269" max="269" width="26.42578125" bestFit="1" customWidth="1"/>
    <col min="270" max="270" width="24.28515625" bestFit="1" customWidth="1"/>
    <col min="271" max="274" width="6.28515625" bestFit="1" customWidth="1"/>
    <col min="275" max="275" width="18.28515625" bestFit="1" customWidth="1"/>
    <col min="276" max="276" width="16" bestFit="1" customWidth="1"/>
    <col min="277" max="277" width="26.42578125" bestFit="1" customWidth="1"/>
    <col min="278" max="278" width="24.28515625" bestFit="1" customWidth="1"/>
    <col min="279" max="279" width="26.42578125" bestFit="1" customWidth="1"/>
    <col min="280" max="280" width="24.28515625" bestFit="1" customWidth="1"/>
    <col min="281" max="281" width="26.42578125" bestFit="1" customWidth="1"/>
    <col min="282" max="282" width="24.28515625" bestFit="1" customWidth="1"/>
    <col min="283" max="286" width="5.28515625" bestFit="1" customWidth="1"/>
    <col min="287" max="287" width="18.28515625" bestFit="1" customWidth="1"/>
    <col min="288" max="288" width="16" bestFit="1" customWidth="1"/>
    <col min="289" max="289" width="26.42578125" bestFit="1" customWidth="1"/>
    <col min="290" max="290" width="24.28515625" bestFit="1" customWidth="1"/>
    <col min="291" max="294" width="6.28515625" bestFit="1" customWidth="1"/>
    <col min="295" max="295" width="18.28515625" bestFit="1" customWidth="1"/>
    <col min="296" max="296" width="16" bestFit="1" customWidth="1"/>
    <col min="297" max="297" width="26.42578125" bestFit="1" customWidth="1"/>
    <col min="298" max="298" width="24.28515625" bestFit="1" customWidth="1"/>
    <col min="299" max="299" width="18.7109375" bestFit="1" customWidth="1"/>
    <col min="300" max="300" width="11.140625" bestFit="1" customWidth="1"/>
    <col min="301" max="304" width="5.28515625" bestFit="1" customWidth="1"/>
    <col min="305" max="305" width="18.28515625" bestFit="1" customWidth="1"/>
    <col min="306" max="306" width="16" customWidth="1"/>
    <col min="307" max="307" width="26.42578125" bestFit="1" customWidth="1"/>
    <col min="308" max="308" width="24.28515625" bestFit="1" customWidth="1"/>
    <col min="309" max="309" width="26.42578125" bestFit="1" customWidth="1"/>
    <col min="310" max="310" width="24.28515625" bestFit="1" customWidth="1"/>
    <col min="311" max="311" width="17.28515625" bestFit="1" customWidth="1"/>
    <col min="312" max="312" width="11.140625" bestFit="1" customWidth="1"/>
    <col min="313" max="313" width="7.5703125" bestFit="1" customWidth="1"/>
    <col min="314" max="314" width="17.5703125" bestFit="1" customWidth="1"/>
    <col min="315" max="315" width="21" bestFit="1" customWidth="1"/>
    <col min="316" max="316" width="34.42578125" bestFit="1" customWidth="1"/>
    <col min="317" max="317" width="18.28515625" bestFit="1" customWidth="1"/>
    <col min="318" max="318" width="16" bestFit="1" customWidth="1"/>
    <col min="319" max="319" width="26.42578125" bestFit="1" customWidth="1"/>
    <col min="320" max="320" width="24.28515625" bestFit="1" customWidth="1"/>
    <col min="321" max="321" width="29.85546875" bestFit="1" customWidth="1"/>
    <col min="322" max="322" width="28.7109375" bestFit="1" customWidth="1"/>
    <col min="323" max="323" width="24.140625" bestFit="1" customWidth="1"/>
    <col min="324" max="324" width="36.5703125" bestFit="1" customWidth="1"/>
    <col min="325" max="325" width="30.7109375" bestFit="1" customWidth="1"/>
    <col min="326" max="326" width="29.5703125" bestFit="1" customWidth="1"/>
    <col min="327" max="327" width="25.85546875" bestFit="1" customWidth="1"/>
    <col min="328" max="328" width="33.140625" bestFit="1" customWidth="1"/>
    <col min="329" max="329" width="13.140625" bestFit="1" customWidth="1"/>
    <col min="330" max="330" width="23" bestFit="1" customWidth="1"/>
    <col min="331" max="331" width="20.85546875" bestFit="1" customWidth="1"/>
    <col min="332" max="332" width="26.42578125" customWidth="1"/>
    <col min="333" max="334" width="24.28515625" bestFit="1" customWidth="1"/>
    <col min="335" max="335" width="8.5703125" customWidth="1"/>
    <col min="336" max="336" width="33.140625" bestFit="1" customWidth="1"/>
    <col min="337" max="337" width="13.140625" bestFit="1" customWidth="1"/>
    <col min="338" max="338" width="11.28515625" bestFit="1" customWidth="1"/>
    <col min="339" max="339" width="26.42578125" bestFit="1" customWidth="1"/>
    <col min="340" max="340" width="17.28515625" bestFit="1" customWidth="1"/>
    <col min="341" max="341" width="11.140625" customWidth="1"/>
    <col min="342" max="342" width="24.28515625" bestFit="1" customWidth="1"/>
    <col min="343" max="343" width="8.5703125" bestFit="1" customWidth="1"/>
    <col min="344" max="344" width="7.5703125" bestFit="1" customWidth="1"/>
    <col min="345" max="345" width="17.5703125" bestFit="1" customWidth="1"/>
    <col min="346" max="346" width="21" bestFit="1" customWidth="1"/>
    <col min="347" max="347" width="34.42578125" customWidth="1"/>
    <col min="348" max="348" width="24.28515625" bestFit="1" customWidth="1"/>
    <col min="349" max="349" width="8.5703125" bestFit="1" customWidth="1"/>
    <col min="350" max="350" width="11.140625" bestFit="1" customWidth="1"/>
    <col min="351" max="351" width="24.28515625" bestFit="1" customWidth="1"/>
    <col min="352" max="352" width="8.5703125" bestFit="1" customWidth="1"/>
    <col min="353" max="353" width="17.28515625" bestFit="1" customWidth="1"/>
    <col min="354" max="354" width="11.140625" bestFit="1" customWidth="1"/>
    <col min="355" max="355" width="7.5703125" bestFit="1" customWidth="1"/>
    <col min="356" max="356" width="24.28515625" bestFit="1" customWidth="1"/>
    <col min="357" max="357" width="8.5703125" bestFit="1" customWidth="1"/>
    <col min="358" max="358" width="34.42578125" bestFit="1" customWidth="1"/>
    <col min="359" max="359" width="11.140625" bestFit="1" customWidth="1"/>
    <col min="360" max="360" width="5.28515625" bestFit="1" customWidth="1"/>
    <col min="361" max="361" width="24.28515625" bestFit="1" customWidth="1"/>
    <col min="362" max="362" width="8.5703125" bestFit="1" customWidth="1"/>
    <col min="363" max="363" width="17.28515625" bestFit="1" customWidth="1"/>
    <col min="364" max="364" width="11.140625" bestFit="1" customWidth="1"/>
    <col min="365" max="365" width="7.5703125" customWidth="1"/>
    <col min="366" max="366" width="17.5703125" bestFit="1" customWidth="1"/>
    <col min="367" max="367" width="24.28515625" bestFit="1" customWidth="1"/>
    <col min="368" max="368" width="8.28515625" bestFit="1" customWidth="1"/>
    <col min="369" max="369" width="17.5703125" bestFit="1" customWidth="1"/>
    <col min="370" max="370" width="21" bestFit="1" customWidth="1"/>
    <col min="371" max="371" width="34.42578125" bestFit="1" customWidth="1"/>
    <col min="372" max="372" width="11.140625" customWidth="1"/>
    <col min="373" max="373" width="24.28515625" bestFit="1" customWidth="1"/>
    <col min="374" max="374" width="8.5703125" bestFit="1" customWidth="1"/>
    <col min="375" max="375" width="5.28515625" bestFit="1" customWidth="1"/>
    <col min="376" max="376" width="24.28515625" bestFit="1" customWidth="1"/>
    <col min="377" max="377" width="8.5703125" bestFit="1" customWidth="1"/>
    <col min="378" max="378" width="24.28515625" bestFit="1" customWidth="1"/>
    <col min="379" max="379" width="8.5703125" bestFit="1" customWidth="1"/>
    <col min="380" max="380" width="21" bestFit="1" customWidth="1"/>
    <col min="381" max="381" width="34.42578125" bestFit="1" customWidth="1"/>
    <col min="382" max="382" width="24.28515625" bestFit="1" customWidth="1"/>
    <col min="383" max="383" width="8.5703125" bestFit="1" customWidth="1"/>
    <col min="384" max="384" width="21" bestFit="1" customWidth="1"/>
    <col min="385" max="385" width="34.42578125" bestFit="1" customWidth="1"/>
    <col min="386" max="386" width="24.28515625" bestFit="1" customWidth="1"/>
    <col min="387" max="387" width="8.5703125" bestFit="1" customWidth="1"/>
    <col min="388" max="389" width="5.28515625" bestFit="1" customWidth="1"/>
    <col min="390" max="390" width="24.28515625" bestFit="1" customWidth="1"/>
    <col min="391" max="391" width="8.5703125" bestFit="1" customWidth="1"/>
    <col min="392" max="392" width="11.140625" bestFit="1" customWidth="1"/>
    <col min="393" max="393" width="24.28515625" bestFit="1" customWidth="1"/>
    <col min="394" max="394" width="8.28515625" bestFit="1" customWidth="1"/>
    <col min="395" max="395" width="34.42578125" customWidth="1"/>
    <col min="396" max="396" width="24.28515625" bestFit="1" customWidth="1"/>
    <col min="397" max="397" width="8.5703125" bestFit="1" customWidth="1"/>
    <col min="398" max="398" width="11.140625" customWidth="1"/>
    <col min="399" max="399" width="24.28515625" bestFit="1" customWidth="1"/>
    <col min="400" max="400" width="8.5703125" bestFit="1" customWidth="1"/>
    <col min="401" max="401" width="5.28515625" bestFit="1" customWidth="1"/>
    <col min="402" max="402" width="36.28515625" bestFit="1" customWidth="1"/>
    <col min="403" max="403" width="8.5703125" bestFit="1" customWidth="1"/>
    <col min="404" max="404" width="17.5703125" bestFit="1" customWidth="1"/>
    <col min="405" max="405" width="21" bestFit="1" customWidth="1"/>
    <col min="406" max="406" width="36.28515625" bestFit="1" customWidth="1"/>
    <col min="407" max="407" width="8.5703125" bestFit="1" customWidth="1"/>
    <col min="408" max="408" width="5.28515625" bestFit="1" customWidth="1"/>
    <col min="409" max="409" width="36.28515625" bestFit="1" customWidth="1"/>
    <col min="410" max="410" width="8.5703125" bestFit="1" customWidth="1"/>
    <col min="411" max="411" width="5.28515625" bestFit="1" customWidth="1"/>
    <col min="412" max="412" width="36.28515625" bestFit="1" customWidth="1"/>
    <col min="413" max="413" width="8.5703125" bestFit="1" customWidth="1"/>
    <col min="414" max="414" width="17.5703125" bestFit="1" customWidth="1"/>
    <col min="415" max="415" width="21" bestFit="1" customWidth="1"/>
    <col min="416" max="416" width="34.42578125" customWidth="1"/>
    <col min="417" max="417" width="36.28515625" bestFit="1" customWidth="1"/>
    <col min="418" max="418" width="8.5703125" bestFit="1" customWidth="1"/>
    <col min="419" max="419" width="11.140625" customWidth="1"/>
    <col min="420" max="420" width="5.28515625" bestFit="1" customWidth="1"/>
    <col min="421" max="421" width="33.140625" bestFit="1" customWidth="1"/>
    <col min="422" max="422" width="8.5703125" bestFit="1" customWidth="1"/>
    <col min="423" max="423" width="36.28515625" bestFit="1" customWidth="1"/>
    <col min="424" max="424" width="17.28515625" bestFit="1" customWidth="1"/>
    <col min="425" max="425" width="11.140625" bestFit="1" customWidth="1"/>
    <col min="426" max="426" width="7.5703125" customWidth="1"/>
    <col min="427" max="427" width="33.140625" bestFit="1" customWidth="1"/>
    <col min="428" max="428" width="8.5703125" bestFit="1" customWidth="1"/>
    <col min="429" max="429" width="17.5703125" bestFit="1" customWidth="1"/>
    <col min="430" max="430" width="21" bestFit="1" customWidth="1"/>
    <col min="431" max="431" width="34.42578125" bestFit="1" customWidth="1"/>
    <col min="432" max="432" width="11.140625" bestFit="1" customWidth="1"/>
    <col min="433" max="433" width="33.140625" bestFit="1" customWidth="1"/>
    <col min="434" max="434" width="8.28515625" bestFit="1" customWidth="1"/>
    <col min="435" max="435" width="17.5703125" bestFit="1" customWidth="1"/>
    <col min="436" max="436" width="21" bestFit="1" customWidth="1"/>
    <col min="437" max="437" width="33.140625" bestFit="1" customWidth="1"/>
    <col min="438" max="438" width="8.5703125" bestFit="1" customWidth="1"/>
    <col min="439" max="439" width="33.140625" bestFit="1" customWidth="1"/>
    <col min="440" max="440" width="8.5703125" bestFit="1" customWidth="1"/>
    <col min="441" max="441" width="33.140625" bestFit="1" customWidth="1"/>
    <col min="442" max="442" width="8.5703125" bestFit="1" customWidth="1"/>
    <col min="443" max="443" width="33.140625" bestFit="1" customWidth="1"/>
    <col min="444" max="444" width="8.5703125" bestFit="1" customWidth="1"/>
    <col min="445" max="445" width="33.140625" bestFit="1" customWidth="1"/>
    <col min="446" max="446" width="8.5703125" bestFit="1" customWidth="1"/>
    <col min="447" max="447" width="11.140625" bestFit="1" customWidth="1"/>
    <col min="448" max="448" width="7.5703125" bestFit="1" customWidth="1"/>
    <col min="449" max="449" width="17.5703125" bestFit="1" customWidth="1"/>
    <col min="450" max="450" width="36.28515625" bestFit="1" customWidth="1"/>
    <col min="451" max="451" width="8.5703125" bestFit="1" customWidth="1"/>
    <col min="452" max="452" width="25.85546875" bestFit="1" customWidth="1"/>
    <col min="453" max="453" width="37.7109375" bestFit="1" customWidth="1"/>
    <col min="454" max="454" width="36.28515625" customWidth="1"/>
    <col min="455" max="455" width="13.140625" bestFit="1" customWidth="1"/>
    <col min="456" max="456" width="33.140625" bestFit="1" customWidth="1"/>
    <col min="457" max="457" width="36.28515625" customWidth="1"/>
    <col min="458" max="458" width="8.28515625" bestFit="1" customWidth="1"/>
    <col min="459" max="459" width="33.140625" bestFit="1" customWidth="1"/>
    <col min="460" max="460" width="17.28515625" bestFit="1" customWidth="1"/>
    <col min="461" max="461" width="11.140625" bestFit="1" customWidth="1"/>
    <col min="462" max="462" width="36.28515625" bestFit="1" customWidth="1"/>
    <col min="463" max="463" width="8.28515625" bestFit="1" customWidth="1"/>
    <col min="464" max="464" width="19.5703125" bestFit="1" customWidth="1"/>
    <col min="465" max="465" width="32.140625" bestFit="1" customWidth="1"/>
    <col min="466" max="466" width="10.5703125" bestFit="1" customWidth="1"/>
    <col min="467" max="467" width="5.140625" bestFit="1" customWidth="1"/>
    <col min="468" max="468" width="34.28515625" bestFit="1" customWidth="1"/>
    <col min="469" max="469" width="7.85546875" bestFit="1" customWidth="1"/>
    <col min="470" max="470" width="7.5703125" bestFit="1" customWidth="1"/>
    <col min="471" max="471" width="17.5703125" bestFit="1" customWidth="1"/>
    <col min="472" max="472" width="36.28515625" bestFit="1" customWidth="1"/>
    <col min="473" max="473" width="8.5703125" bestFit="1" customWidth="1"/>
    <col min="474" max="474" width="34.42578125" bestFit="1" customWidth="1"/>
    <col min="475" max="475" width="11.140625" bestFit="1" customWidth="1"/>
    <col min="476" max="476" width="5.28515625" bestFit="1" customWidth="1"/>
    <col min="477" max="477" width="36.28515625" bestFit="1" customWidth="1"/>
    <col min="478" max="478" width="8.5703125" bestFit="1" customWidth="1"/>
    <col min="479" max="479" width="29.5703125" bestFit="1" customWidth="1"/>
    <col min="480" max="480" width="25.85546875" bestFit="1" customWidth="1"/>
    <col min="481" max="481" width="37.7109375" bestFit="1" customWidth="1"/>
    <col min="482" max="482" width="36.28515625" bestFit="1" customWidth="1"/>
    <col min="483" max="483" width="13.140625" bestFit="1" customWidth="1"/>
    <col min="484" max="484" width="33.140625" bestFit="1" customWidth="1"/>
    <col min="485" max="485" width="36.28515625" bestFit="1" customWidth="1"/>
    <col min="486" max="486" width="8.5703125" bestFit="1" customWidth="1"/>
    <col min="487" max="487" width="11.140625" bestFit="1" customWidth="1"/>
    <col min="488" max="488" width="7.5703125" bestFit="1" customWidth="1"/>
    <col min="489" max="489" width="17.5703125" bestFit="1" customWidth="1"/>
    <col min="490" max="490" width="21" bestFit="1" customWidth="1"/>
    <col min="491" max="491" width="36.28515625" bestFit="1" customWidth="1"/>
    <col min="492" max="492" width="8.5703125" bestFit="1" customWidth="1"/>
    <col min="493" max="493" width="29.5703125" bestFit="1" customWidth="1"/>
    <col min="494" max="494" width="25.85546875" bestFit="1" customWidth="1"/>
    <col min="495" max="495" width="37.7109375" bestFit="1" customWidth="1"/>
    <col min="496" max="496" width="36.28515625" bestFit="1" customWidth="1"/>
    <col min="497" max="497" width="13.140625" bestFit="1" customWidth="1"/>
    <col min="498" max="498" width="33.140625" bestFit="1" customWidth="1"/>
    <col min="499" max="499" width="36.28515625" bestFit="1" customWidth="1"/>
    <col min="500" max="500" width="8.28515625" bestFit="1" customWidth="1"/>
    <col min="501" max="501" width="33.140625" bestFit="1" customWidth="1"/>
    <col min="502" max="502" width="17.28515625" bestFit="1" customWidth="1"/>
    <col min="503" max="503" width="11.140625" bestFit="1" customWidth="1"/>
    <col min="504" max="504" width="36.28515625" bestFit="1" customWidth="1"/>
    <col min="505" max="505" width="8.5703125" bestFit="1" customWidth="1"/>
    <col min="506" max="506" width="21" bestFit="1" customWidth="1"/>
    <col min="507" max="507" width="34.42578125" bestFit="1" customWidth="1"/>
    <col min="508" max="508" width="36.28515625" bestFit="1" customWidth="1"/>
    <col min="509" max="509" width="8.5703125" bestFit="1" customWidth="1"/>
    <col min="510" max="510" width="36.28515625" bestFit="1" customWidth="1"/>
    <col min="511" max="511" width="8.5703125" bestFit="1" customWidth="1"/>
    <col min="512" max="512" width="17.5703125" bestFit="1" customWidth="1"/>
    <col min="513" max="513" width="36.28515625" bestFit="1" customWidth="1"/>
    <col min="514" max="514" width="8.28515625" bestFit="1" customWidth="1"/>
    <col min="515" max="515" width="11.140625" bestFit="1" customWidth="1"/>
    <col min="516" max="517" width="5.28515625" bestFit="1" customWidth="1"/>
    <col min="518" max="518" width="36.28515625" bestFit="1" customWidth="1"/>
    <col min="519" max="519" width="8.5703125" bestFit="1" customWidth="1"/>
    <col min="520" max="520" width="33.5703125" bestFit="1" customWidth="1"/>
    <col min="521" max="521" width="29.85546875" bestFit="1" customWidth="1"/>
    <col min="522" max="522" width="37.7109375" bestFit="1" customWidth="1"/>
    <col min="523" max="523" width="36.28515625" bestFit="1" customWidth="1"/>
    <col min="524" max="524" width="33.140625" bestFit="1" customWidth="1"/>
    <col min="525" max="525" width="17.28515625" bestFit="1" customWidth="1"/>
    <col min="526" max="526" width="36.28515625" bestFit="1" customWidth="1"/>
    <col min="527" max="527" width="8.28515625" bestFit="1" customWidth="1"/>
    <col min="528" max="528" width="17.5703125" bestFit="1" customWidth="1"/>
    <col min="529" max="529" width="21" bestFit="1" customWidth="1"/>
    <col min="530" max="530" width="34.42578125" bestFit="1" customWidth="1"/>
    <col min="531" max="531" width="11.140625" bestFit="1" customWidth="1"/>
    <col min="532" max="533" width="5.28515625" bestFit="1" customWidth="1"/>
    <col min="534" max="534" width="36.28515625" bestFit="1" customWidth="1"/>
    <col min="535" max="535" width="8.5703125" bestFit="1" customWidth="1"/>
    <col min="536" max="536" width="17.5703125" bestFit="1" customWidth="1"/>
    <col min="537" max="537" width="21" bestFit="1" customWidth="1"/>
    <col min="538" max="538" width="36.28515625" bestFit="1" customWidth="1"/>
    <col min="539" max="539" width="8.28515625" bestFit="1" customWidth="1"/>
    <col min="540" max="540" width="33.140625" bestFit="1" customWidth="1"/>
    <col min="541" max="541" width="17.28515625" bestFit="1" customWidth="1"/>
    <col min="542" max="542" width="11.140625" bestFit="1" customWidth="1"/>
    <col min="543" max="543" width="36.28515625" bestFit="1" customWidth="1"/>
    <col min="544" max="544" width="8.28515625" bestFit="1" customWidth="1"/>
    <col min="545" max="545" width="21" bestFit="1" customWidth="1"/>
    <col min="546" max="546" width="34.42578125" bestFit="1" customWidth="1"/>
    <col min="547" max="547" width="11.140625" bestFit="1" customWidth="1"/>
    <col min="548" max="548" width="36.28515625" bestFit="1" customWidth="1"/>
    <col min="549" max="549" width="8.5703125" bestFit="1" customWidth="1"/>
    <col min="550" max="550" width="36.28515625" bestFit="1" customWidth="1"/>
    <col min="551" max="551" width="8.5703125" bestFit="1" customWidth="1"/>
    <col min="552" max="552" width="11.140625" bestFit="1" customWidth="1"/>
    <col min="553" max="553" width="7.5703125" bestFit="1" customWidth="1"/>
    <col min="554" max="554" width="17.5703125" bestFit="1" customWidth="1"/>
    <col min="555" max="555" width="36.28515625" bestFit="1" customWidth="1"/>
    <col min="556" max="556" width="8.28515625" bestFit="1" customWidth="1"/>
    <col min="557" max="557" width="36.28515625" bestFit="1" customWidth="1"/>
    <col min="558" max="558" width="8.5703125" bestFit="1" customWidth="1"/>
    <col min="559" max="559" width="34.42578125" bestFit="1" customWidth="1"/>
    <col min="560" max="560" width="11.140625" bestFit="1" customWidth="1"/>
    <col min="561" max="562" width="5.28515625" bestFit="1" customWidth="1"/>
    <col min="563" max="563" width="36.28515625" bestFit="1" customWidth="1"/>
    <col min="564" max="564" width="8.5703125" bestFit="1" customWidth="1"/>
    <col min="565" max="565" width="36.28515625" bestFit="1" customWidth="1"/>
    <col min="566" max="566" width="8.28515625" bestFit="1" customWidth="1"/>
    <col min="567" max="567" width="36.28515625" bestFit="1" customWidth="1"/>
    <col min="568" max="568" width="8.28515625" bestFit="1" customWidth="1"/>
    <col min="569" max="569" width="33.140625" bestFit="1" customWidth="1"/>
    <col min="570" max="570" width="17.28515625" bestFit="1" customWidth="1"/>
    <col min="571" max="571" width="11.140625" bestFit="1" customWidth="1"/>
    <col min="572" max="572" width="36.28515625" bestFit="1" customWidth="1"/>
    <col min="573" max="573" width="8.28515625" bestFit="1" customWidth="1"/>
    <col min="574" max="574" width="36.28515625" bestFit="1" customWidth="1"/>
    <col min="575" max="575" width="8.28515625" customWidth="1"/>
    <col min="576" max="576" width="17.28515625" bestFit="1" customWidth="1"/>
    <col min="577" max="577" width="17.5703125" bestFit="1" customWidth="1"/>
    <col min="578" max="578" width="21" bestFit="1" customWidth="1"/>
    <col min="579" max="579" width="34.42578125" bestFit="1" customWidth="1"/>
    <col min="580" max="580" width="11.140625" bestFit="1" customWidth="1"/>
    <col min="581" max="582" width="5.28515625" bestFit="1" customWidth="1"/>
    <col min="583" max="583" width="11.140625" bestFit="1" customWidth="1"/>
    <col min="584" max="584" width="7.5703125" bestFit="1" customWidth="1"/>
    <col min="585" max="585" width="17.5703125" bestFit="1" customWidth="1"/>
    <col min="586" max="586" width="21" bestFit="1" customWidth="1"/>
    <col min="587" max="587" width="11.140625" bestFit="1" customWidth="1"/>
    <col min="588" max="588" width="7.5703125" bestFit="1" customWidth="1"/>
    <col min="589" max="589" width="33.140625" bestFit="1" customWidth="1"/>
    <col min="590" max="590" width="36.28515625" bestFit="1" customWidth="1"/>
    <col min="591" max="591" width="8.5703125" bestFit="1" customWidth="1"/>
    <col min="592" max="592" width="17.28515625" bestFit="1" customWidth="1"/>
    <col min="593" max="593" width="11.140625" bestFit="1" customWidth="1"/>
    <col min="594" max="594" width="7.5703125" customWidth="1"/>
    <col min="595" max="595" width="17.5703125" bestFit="1" customWidth="1"/>
    <col min="596" max="596" width="21" bestFit="1" customWidth="1"/>
    <col min="597" max="597" width="11.28515625" bestFit="1" customWidth="1"/>
    <col min="598" max="598" width="8.28515625" bestFit="1" customWidth="1"/>
    <col min="599" max="599" width="17.28515625" bestFit="1" customWidth="1"/>
    <col min="600" max="600" width="11.140625" bestFit="1" customWidth="1"/>
    <col min="601" max="601" width="7.5703125" bestFit="1" customWidth="1"/>
    <col min="602" max="602" width="17.5703125" bestFit="1" customWidth="1"/>
    <col min="603" max="603" width="21" bestFit="1" customWidth="1"/>
    <col min="604" max="604" width="34.42578125" bestFit="1" customWidth="1"/>
    <col min="605" max="605" width="11.140625" bestFit="1" customWidth="1"/>
    <col min="606" max="612" width="5.28515625" bestFit="1" customWidth="1"/>
    <col min="613" max="613" width="11.140625" bestFit="1" customWidth="1"/>
    <col min="614" max="614" width="7.5703125" bestFit="1" customWidth="1"/>
    <col min="615" max="615" width="17.5703125" bestFit="1" customWidth="1"/>
    <col min="616" max="616" width="21" bestFit="1" customWidth="1"/>
    <col min="617" max="617" width="34.42578125" bestFit="1" customWidth="1"/>
    <col min="618" max="618" width="11.140625" bestFit="1" customWidth="1"/>
    <col min="619" max="621" width="5.28515625" bestFit="1" customWidth="1"/>
    <col min="622" max="622" width="17.28515625" bestFit="1" customWidth="1"/>
    <col min="623" max="623" width="11.140625" bestFit="1" customWidth="1"/>
    <col min="624" max="624" width="7.5703125" bestFit="1" customWidth="1"/>
    <col min="625" max="625" width="17.5703125" bestFit="1" customWidth="1"/>
    <col min="626" max="626" width="21" bestFit="1" customWidth="1"/>
    <col min="627" max="627" width="34.42578125" bestFit="1" customWidth="1"/>
    <col min="628" max="628" width="11.140625" bestFit="1" customWidth="1"/>
    <col min="629" max="629" width="24.28515625" bestFit="1" customWidth="1"/>
    <col min="630" max="630" width="36.28515625" bestFit="1" customWidth="1"/>
    <col min="631" max="631" width="8.5703125" bestFit="1" customWidth="1"/>
    <col min="632" max="632" width="17.28515625" bestFit="1" customWidth="1"/>
    <col min="633" max="633" width="11.140625" bestFit="1" customWidth="1"/>
    <col min="634" max="634" width="24.28515625" bestFit="1" customWidth="1"/>
    <col min="635" max="635" width="36.28515625" bestFit="1" customWidth="1"/>
    <col min="636" max="636" width="17.7109375" bestFit="1" customWidth="1"/>
    <col min="637" max="637" width="36.28515625" bestFit="1" customWidth="1"/>
    <col min="638" max="638" width="11.28515625" bestFit="1" customWidth="1"/>
    <col min="639" max="639" width="8.5703125" bestFit="1" customWidth="1"/>
    <col min="640" max="640" width="16.7109375" bestFit="1" customWidth="1"/>
    <col min="641" max="641" width="36.28515625" customWidth="1"/>
    <col min="642" max="642" width="33.140625" bestFit="1" customWidth="1"/>
    <col min="643" max="643" width="18.85546875" bestFit="1" customWidth="1"/>
    <col min="644" max="644" width="16.7109375" bestFit="1" customWidth="1"/>
    <col min="645" max="645" width="36.28515625" customWidth="1"/>
    <col min="646" max="646" width="14.7109375" bestFit="1" customWidth="1"/>
    <col min="647" max="647" width="23.5703125" customWidth="1"/>
    <col min="648" max="648" width="10.42578125" bestFit="1" customWidth="1"/>
    <col min="649" max="649" width="23.5703125" bestFit="1" customWidth="1"/>
    <col min="650" max="650" width="14.7109375" bestFit="1" customWidth="1"/>
    <col min="651" max="651" width="13.5703125" bestFit="1" customWidth="1"/>
  </cols>
  <sheetData>
    <row r="1" spans="1:64" x14ac:dyDescent="0.25">
      <c r="A1" t="s">
        <v>0</v>
      </c>
      <c r="B1" t="s">
        <v>36</v>
      </c>
      <c r="C1" t="s">
        <v>37</v>
      </c>
      <c r="D1" t="s">
        <v>11</v>
      </c>
      <c r="E1" t="s">
        <v>17</v>
      </c>
      <c r="F1" t="s">
        <v>39</v>
      </c>
      <c r="G1" t="s">
        <v>40</v>
      </c>
      <c r="H1" s="2" t="s">
        <v>38</v>
      </c>
      <c r="I1" t="s">
        <v>12</v>
      </c>
      <c r="J1" t="s">
        <v>47</v>
      </c>
      <c r="K1" t="s">
        <v>124</v>
      </c>
      <c r="L1" t="s">
        <v>125</v>
      </c>
      <c r="M1" t="s">
        <v>126</v>
      </c>
      <c r="N1" t="s">
        <v>127</v>
      </c>
      <c r="O1" t="s">
        <v>418</v>
      </c>
      <c r="P1" t="s">
        <v>419</v>
      </c>
      <c r="Q1" t="s">
        <v>420</v>
      </c>
      <c r="R1" t="s">
        <v>421</v>
      </c>
      <c r="S1" t="s">
        <v>366</v>
      </c>
      <c r="T1" t="s">
        <v>367</v>
      </c>
      <c r="U1" t="s">
        <v>128</v>
      </c>
      <c r="V1" t="s">
        <v>129</v>
      </c>
      <c r="W1" t="s">
        <v>163</v>
      </c>
      <c r="X1" t="s">
        <v>164</v>
      </c>
      <c r="Y1" t="s">
        <v>48</v>
      </c>
      <c r="Z1" t="s">
        <v>49</v>
      </c>
      <c r="AA1" t="s">
        <v>130</v>
      </c>
      <c r="AB1" t="s">
        <v>131</v>
      </c>
      <c r="AC1" t="s">
        <v>165</v>
      </c>
      <c r="AD1" t="s">
        <v>166</v>
      </c>
      <c r="AE1" t="s">
        <v>422</v>
      </c>
      <c r="AF1" t="s">
        <v>423</v>
      </c>
      <c r="AG1" t="s">
        <v>88</v>
      </c>
      <c r="AH1" t="s">
        <v>89</v>
      </c>
      <c r="AI1" t="s">
        <v>240</v>
      </c>
      <c r="AJ1" t="s">
        <v>241</v>
      </c>
      <c r="AK1" t="s">
        <v>242</v>
      </c>
      <c r="AL1" t="s">
        <v>243</v>
      </c>
      <c r="AM1" t="s">
        <v>262</v>
      </c>
      <c r="AN1" t="s">
        <v>263</v>
      </c>
      <c r="AO1" t="s">
        <v>299</v>
      </c>
      <c r="AP1" t="s">
        <v>300</v>
      </c>
      <c r="AQ1" t="s">
        <v>171</v>
      </c>
      <c r="AR1" t="s">
        <v>244</v>
      </c>
      <c r="AS1" t="s">
        <v>270</v>
      </c>
      <c r="AT1" t="s">
        <v>52</v>
      </c>
      <c r="AU1" t="s">
        <v>53</v>
      </c>
      <c r="AV1" t="s">
        <v>54</v>
      </c>
      <c r="AW1" t="s">
        <v>117</v>
      </c>
      <c r="AX1" t="s">
        <v>118</v>
      </c>
      <c r="AY1" t="s">
        <v>119</v>
      </c>
      <c r="AZ1" t="s">
        <v>120</v>
      </c>
      <c r="BA1" t="s">
        <v>301</v>
      </c>
      <c r="BB1" t="s">
        <v>302</v>
      </c>
      <c r="BC1" t="s">
        <v>558</v>
      </c>
      <c r="BD1" t="s">
        <v>137</v>
      </c>
      <c r="BE1" t="s">
        <v>232</v>
      </c>
      <c r="BF1" t="s">
        <v>319</v>
      </c>
      <c r="BG1" t="s">
        <v>400</v>
      </c>
      <c r="BH1" t="s">
        <v>401</v>
      </c>
      <c r="BI1" t="s">
        <v>50</v>
      </c>
      <c r="BJ1" t="s">
        <v>51</v>
      </c>
      <c r="BK1" t="s">
        <v>61</v>
      </c>
      <c r="BL1" t="s">
        <v>62</v>
      </c>
    </row>
    <row r="2" spans="1:64" x14ac:dyDescent="0.25">
      <c r="A2">
        <v>775</v>
      </c>
      <c r="B2" t="s">
        <v>329</v>
      </c>
      <c r="C2" t="s">
        <v>148</v>
      </c>
      <c r="D2" t="s">
        <v>25</v>
      </c>
      <c r="E2">
        <v>6</v>
      </c>
      <c r="F2">
        <v>55</v>
      </c>
      <c r="G2">
        <v>330</v>
      </c>
      <c r="H2" s="2">
        <v>45207</v>
      </c>
      <c r="I2" t="s">
        <v>264</v>
      </c>
      <c r="J2" t="s">
        <v>55</v>
      </c>
      <c r="K2" t="s">
        <v>386</v>
      </c>
      <c r="L2" t="s">
        <v>387</v>
      </c>
      <c r="M2" t="s">
        <v>362</v>
      </c>
      <c r="N2" t="s">
        <v>374</v>
      </c>
      <c r="O2" t="s">
        <v>60</v>
      </c>
      <c r="P2" t="s">
        <v>60</v>
      </c>
      <c r="Q2" t="s">
        <v>60</v>
      </c>
      <c r="R2" t="s">
        <v>60</v>
      </c>
      <c r="S2" t="s">
        <v>90</v>
      </c>
      <c r="T2" t="s">
        <v>327</v>
      </c>
      <c r="U2" t="s">
        <v>388</v>
      </c>
      <c r="V2" t="s">
        <v>389</v>
      </c>
      <c r="W2" t="s">
        <v>60</v>
      </c>
      <c r="X2" t="s">
        <v>60</v>
      </c>
      <c r="Y2" t="s">
        <v>56</v>
      </c>
      <c r="Z2" t="s">
        <v>57</v>
      </c>
      <c r="AA2" t="s">
        <v>60</v>
      </c>
      <c r="AB2" t="s">
        <v>60</v>
      </c>
      <c r="AC2" t="s">
        <v>60</v>
      </c>
      <c r="AD2" t="s">
        <v>60</v>
      </c>
      <c r="AE2" t="s">
        <v>60</v>
      </c>
      <c r="AF2" t="s">
        <v>60</v>
      </c>
      <c r="AG2" t="s">
        <v>362</v>
      </c>
      <c r="AH2" t="s">
        <v>375</v>
      </c>
      <c r="AI2" t="s">
        <v>431</v>
      </c>
      <c r="AJ2" t="s">
        <v>433</v>
      </c>
      <c r="AK2">
        <v>6</v>
      </c>
      <c r="AL2">
        <v>330</v>
      </c>
      <c r="AM2">
        <v>0</v>
      </c>
      <c r="AN2">
        <v>0</v>
      </c>
      <c r="AO2" t="s">
        <v>60</v>
      </c>
      <c r="AP2" t="s">
        <v>60</v>
      </c>
      <c r="AQ2" t="s">
        <v>334</v>
      </c>
      <c r="AR2" t="s">
        <v>60</v>
      </c>
      <c r="AS2" t="s">
        <v>60</v>
      </c>
      <c r="AT2" t="s">
        <v>478</v>
      </c>
      <c r="AU2" t="s">
        <v>479</v>
      </c>
      <c r="AV2" t="s">
        <v>480</v>
      </c>
      <c r="AW2" t="s">
        <v>481</v>
      </c>
      <c r="AX2" t="s">
        <v>482</v>
      </c>
      <c r="AY2" t="s">
        <v>121</v>
      </c>
      <c r="AZ2" t="s">
        <v>561</v>
      </c>
      <c r="BA2" t="s">
        <v>60</v>
      </c>
      <c r="BB2" t="s">
        <v>60</v>
      </c>
      <c r="BC2" t="s">
        <v>60</v>
      </c>
      <c r="BD2" t="s">
        <v>60</v>
      </c>
      <c r="BE2" t="s">
        <v>60</v>
      </c>
      <c r="BF2" t="s">
        <v>60</v>
      </c>
      <c r="BG2" t="s">
        <v>60</v>
      </c>
      <c r="BH2" t="s">
        <v>60</v>
      </c>
      <c r="BI2" t="s">
        <v>58</v>
      </c>
      <c r="BJ2" t="s">
        <v>59</v>
      </c>
      <c r="BK2" t="s">
        <v>483</v>
      </c>
      <c r="BL2" t="s">
        <v>484</v>
      </c>
    </row>
    <row r="3" spans="1:64" x14ac:dyDescent="0.25">
      <c r="A3">
        <v>736</v>
      </c>
      <c r="B3" t="s">
        <v>269</v>
      </c>
      <c r="C3" t="s">
        <v>78</v>
      </c>
      <c r="D3" t="s">
        <v>25</v>
      </c>
      <c r="E3">
        <v>5</v>
      </c>
      <c r="F3">
        <v>55</v>
      </c>
      <c r="G3">
        <v>275</v>
      </c>
      <c r="H3" s="2">
        <v>45207</v>
      </c>
      <c r="I3" t="s">
        <v>264</v>
      </c>
      <c r="J3" t="s">
        <v>55</v>
      </c>
      <c r="K3" t="s">
        <v>386</v>
      </c>
      <c r="L3" t="s">
        <v>387</v>
      </c>
      <c r="M3" t="s">
        <v>443</v>
      </c>
      <c r="N3" t="s">
        <v>444</v>
      </c>
      <c r="O3" t="s">
        <v>60</v>
      </c>
      <c r="P3" t="s">
        <v>60</v>
      </c>
      <c r="Q3" t="s">
        <v>60</v>
      </c>
      <c r="R3" t="s">
        <v>60</v>
      </c>
      <c r="S3" t="s">
        <v>167</v>
      </c>
      <c r="T3" t="s">
        <v>445</v>
      </c>
      <c r="U3" t="s">
        <v>388</v>
      </c>
      <c r="V3" t="s">
        <v>389</v>
      </c>
      <c r="W3" t="s">
        <v>60</v>
      </c>
      <c r="X3" t="s">
        <v>60</v>
      </c>
      <c r="Y3" t="s">
        <v>56</v>
      </c>
      <c r="Z3" t="s">
        <v>57</v>
      </c>
      <c r="AA3" t="s">
        <v>60</v>
      </c>
      <c r="AB3" t="s">
        <v>60</v>
      </c>
      <c r="AC3" t="s">
        <v>60</v>
      </c>
      <c r="AD3" t="s">
        <v>60</v>
      </c>
      <c r="AE3" t="s">
        <v>60</v>
      </c>
      <c r="AF3" t="s">
        <v>60</v>
      </c>
      <c r="AG3" t="s">
        <v>443</v>
      </c>
      <c r="AH3" t="s">
        <v>446</v>
      </c>
      <c r="AI3" t="s">
        <v>239</v>
      </c>
      <c r="AJ3" t="s">
        <v>350</v>
      </c>
      <c r="AK3">
        <v>5</v>
      </c>
      <c r="AL3">
        <v>275</v>
      </c>
      <c r="AM3">
        <v>0</v>
      </c>
      <c r="AN3">
        <v>0</v>
      </c>
      <c r="AO3" t="s">
        <v>60</v>
      </c>
      <c r="AP3" t="s">
        <v>60</v>
      </c>
      <c r="AQ3" t="s">
        <v>60</v>
      </c>
      <c r="AR3" t="s">
        <v>60</v>
      </c>
      <c r="AS3" t="s">
        <v>60</v>
      </c>
      <c r="AT3" t="s">
        <v>496</v>
      </c>
      <c r="AU3" t="s">
        <v>496</v>
      </c>
      <c r="AV3" t="s">
        <v>497</v>
      </c>
      <c r="AW3" t="s">
        <v>498</v>
      </c>
      <c r="AX3" t="s">
        <v>499</v>
      </c>
      <c r="AY3" t="s">
        <v>121</v>
      </c>
      <c r="AZ3" t="s">
        <v>563</v>
      </c>
      <c r="BA3" t="s">
        <v>60</v>
      </c>
      <c r="BB3" t="s">
        <v>60</v>
      </c>
      <c r="BC3" t="s">
        <v>60</v>
      </c>
      <c r="BD3" t="s">
        <v>60</v>
      </c>
      <c r="BE3" t="s">
        <v>60</v>
      </c>
      <c r="BF3" t="s">
        <v>60</v>
      </c>
      <c r="BG3" t="s">
        <v>60</v>
      </c>
      <c r="BH3" t="s">
        <v>60</v>
      </c>
      <c r="BI3" t="s">
        <v>58</v>
      </c>
      <c r="BJ3" t="s">
        <v>59</v>
      </c>
      <c r="BK3" t="s">
        <v>397</v>
      </c>
      <c r="BL3" t="s">
        <v>500</v>
      </c>
    </row>
    <row r="4" spans="1:64" x14ac:dyDescent="0.25">
      <c r="A4">
        <v>168</v>
      </c>
      <c r="B4" t="s">
        <v>15</v>
      </c>
      <c r="C4" t="s">
        <v>9</v>
      </c>
      <c r="D4" t="s">
        <v>25</v>
      </c>
      <c r="E4">
        <v>5</v>
      </c>
      <c r="F4">
        <v>55</v>
      </c>
      <c r="G4">
        <v>275</v>
      </c>
      <c r="H4" s="2">
        <v>45207</v>
      </c>
      <c r="I4" t="s">
        <v>168</v>
      </c>
      <c r="J4" t="s">
        <v>76</v>
      </c>
      <c r="K4" t="s">
        <v>135</v>
      </c>
      <c r="L4" t="s">
        <v>390</v>
      </c>
      <c r="M4" t="s">
        <v>435</v>
      </c>
      <c r="N4" t="s">
        <v>436</v>
      </c>
      <c r="O4" t="s">
        <v>437</v>
      </c>
      <c r="P4" t="s">
        <v>438</v>
      </c>
      <c r="Q4" t="s">
        <v>437</v>
      </c>
      <c r="R4" t="s">
        <v>439</v>
      </c>
      <c r="S4" t="s">
        <v>167</v>
      </c>
      <c r="T4" t="s">
        <v>440</v>
      </c>
      <c r="U4" t="s">
        <v>233</v>
      </c>
      <c r="V4" t="s">
        <v>368</v>
      </c>
      <c r="W4" t="s">
        <v>60</v>
      </c>
      <c r="X4" t="s">
        <v>60</v>
      </c>
      <c r="Y4" t="s">
        <v>56</v>
      </c>
      <c r="Z4" t="s">
        <v>57</v>
      </c>
      <c r="AA4" t="s">
        <v>60</v>
      </c>
      <c r="AB4" t="s">
        <v>60</v>
      </c>
      <c r="AC4" t="s">
        <v>60</v>
      </c>
      <c r="AD4" t="s">
        <v>60</v>
      </c>
      <c r="AE4" t="s">
        <v>60</v>
      </c>
      <c r="AF4" t="s">
        <v>60</v>
      </c>
      <c r="AG4" t="s">
        <v>60</v>
      </c>
      <c r="AH4" t="s">
        <v>60</v>
      </c>
      <c r="AI4" t="s">
        <v>133</v>
      </c>
      <c r="AJ4" t="s">
        <v>331</v>
      </c>
      <c r="AK4">
        <v>5</v>
      </c>
      <c r="AL4">
        <v>275</v>
      </c>
      <c r="AM4">
        <v>0</v>
      </c>
      <c r="AN4">
        <v>0</v>
      </c>
      <c r="AO4" t="s">
        <v>60</v>
      </c>
      <c r="AP4" t="s">
        <v>60</v>
      </c>
      <c r="AQ4" t="s">
        <v>60</v>
      </c>
      <c r="AR4" t="s">
        <v>60</v>
      </c>
      <c r="AS4" t="s">
        <v>60</v>
      </c>
      <c r="AT4" t="s">
        <v>485</v>
      </c>
      <c r="AU4" t="s">
        <v>485</v>
      </c>
      <c r="AV4" t="s">
        <v>486</v>
      </c>
      <c r="AW4" t="s">
        <v>487</v>
      </c>
      <c r="AX4" t="s">
        <v>488</v>
      </c>
      <c r="AY4" t="s">
        <v>121</v>
      </c>
      <c r="AZ4" t="s">
        <v>562</v>
      </c>
      <c r="BA4" t="s">
        <v>60</v>
      </c>
      <c r="BB4" t="s">
        <v>60</v>
      </c>
      <c r="BC4" t="s">
        <v>60</v>
      </c>
      <c r="BD4" t="s">
        <v>60</v>
      </c>
      <c r="BE4" t="s">
        <v>60</v>
      </c>
      <c r="BF4" t="s">
        <v>60</v>
      </c>
      <c r="BG4" t="s">
        <v>60</v>
      </c>
      <c r="BH4" t="s">
        <v>60</v>
      </c>
      <c r="BI4" t="s">
        <v>58</v>
      </c>
      <c r="BJ4" t="s">
        <v>59</v>
      </c>
      <c r="BK4" t="s">
        <v>489</v>
      </c>
      <c r="BL4" t="s">
        <v>490</v>
      </c>
    </row>
    <row r="5" spans="1:64" x14ac:dyDescent="0.25">
      <c r="A5">
        <v>940</v>
      </c>
      <c r="B5" t="s">
        <v>369</v>
      </c>
      <c r="C5" t="s">
        <v>360</v>
      </c>
      <c r="D5" t="s">
        <v>25</v>
      </c>
      <c r="E5">
        <v>5</v>
      </c>
      <c r="F5">
        <v>55</v>
      </c>
      <c r="G5">
        <v>275</v>
      </c>
      <c r="H5" s="2">
        <v>45207</v>
      </c>
      <c r="I5" t="s">
        <v>168</v>
      </c>
      <c r="J5" t="s">
        <v>55</v>
      </c>
      <c r="K5" t="s">
        <v>135</v>
      </c>
      <c r="L5" t="s">
        <v>326</v>
      </c>
      <c r="M5" t="s">
        <v>447</v>
      </c>
      <c r="N5" t="s">
        <v>448</v>
      </c>
      <c r="O5" t="s">
        <v>60</v>
      </c>
      <c r="P5" t="s">
        <v>60</v>
      </c>
      <c r="Q5" t="s">
        <v>60</v>
      </c>
      <c r="R5" t="s">
        <v>60</v>
      </c>
      <c r="S5" t="s">
        <v>60</v>
      </c>
      <c r="T5" t="s">
        <v>60</v>
      </c>
      <c r="U5" t="s">
        <v>233</v>
      </c>
      <c r="V5" t="s">
        <v>328</v>
      </c>
      <c r="W5" t="s">
        <v>60</v>
      </c>
      <c r="X5" t="s">
        <v>60</v>
      </c>
      <c r="Y5" t="s">
        <v>56</v>
      </c>
      <c r="Z5" t="s">
        <v>57</v>
      </c>
      <c r="AA5" t="s">
        <v>60</v>
      </c>
      <c r="AB5" t="s">
        <v>60</v>
      </c>
      <c r="AC5" t="s">
        <v>60</v>
      </c>
      <c r="AD5" t="s">
        <v>60</v>
      </c>
      <c r="AE5" t="s">
        <v>60</v>
      </c>
      <c r="AF5" t="s">
        <v>60</v>
      </c>
      <c r="AG5" t="s">
        <v>447</v>
      </c>
      <c r="AH5" t="s">
        <v>449</v>
      </c>
      <c r="AI5" t="s">
        <v>431</v>
      </c>
      <c r="AJ5" t="s">
        <v>433</v>
      </c>
      <c r="AK5">
        <v>5</v>
      </c>
      <c r="AL5">
        <v>275</v>
      </c>
      <c r="AM5">
        <v>0</v>
      </c>
      <c r="AN5">
        <v>0</v>
      </c>
      <c r="AO5" t="s">
        <v>60</v>
      </c>
      <c r="AP5" t="s">
        <v>60</v>
      </c>
      <c r="AQ5" t="s">
        <v>376</v>
      </c>
      <c r="AR5" t="s">
        <v>60</v>
      </c>
      <c r="AS5" t="s">
        <v>60</v>
      </c>
      <c r="AT5" t="s">
        <v>505</v>
      </c>
      <c r="AU5" t="s">
        <v>506</v>
      </c>
      <c r="AV5" t="s">
        <v>507</v>
      </c>
      <c r="AW5" t="s">
        <v>508</v>
      </c>
      <c r="AX5" t="s">
        <v>509</v>
      </c>
      <c r="AY5" t="s">
        <v>121</v>
      </c>
      <c r="AZ5" t="s">
        <v>564</v>
      </c>
      <c r="BA5" t="s">
        <v>60</v>
      </c>
      <c r="BB5" t="s">
        <v>60</v>
      </c>
      <c r="BC5" t="s">
        <v>60</v>
      </c>
      <c r="BD5" t="s">
        <v>60</v>
      </c>
      <c r="BE5" t="s">
        <v>60</v>
      </c>
      <c r="BF5" t="s">
        <v>60</v>
      </c>
      <c r="BG5" t="s">
        <v>60</v>
      </c>
      <c r="BH5" t="s">
        <v>60</v>
      </c>
      <c r="BI5" t="s">
        <v>58</v>
      </c>
      <c r="BJ5" t="s">
        <v>59</v>
      </c>
      <c r="BK5" t="s">
        <v>510</v>
      </c>
      <c r="BL5" t="s">
        <v>511</v>
      </c>
    </row>
    <row r="6" spans="1:64" x14ac:dyDescent="0.25">
      <c r="A6">
        <v>776</v>
      </c>
      <c r="B6" t="s">
        <v>283</v>
      </c>
      <c r="C6" t="s">
        <v>150</v>
      </c>
      <c r="D6" t="s">
        <v>25</v>
      </c>
      <c r="E6">
        <v>5</v>
      </c>
      <c r="F6">
        <v>55</v>
      </c>
      <c r="G6">
        <v>275</v>
      </c>
      <c r="H6" s="2">
        <v>45207</v>
      </c>
      <c r="I6" t="s">
        <v>168</v>
      </c>
      <c r="J6" t="s">
        <v>55</v>
      </c>
      <c r="K6" t="s">
        <v>135</v>
      </c>
      <c r="L6" t="s">
        <v>326</v>
      </c>
      <c r="M6" t="s">
        <v>362</v>
      </c>
      <c r="N6" t="s">
        <v>374</v>
      </c>
      <c r="O6" t="s">
        <v>60</v>
      </c>
      <c r="P6" t="s">
        <v>60</v>
      </c>
      <c r="Q6" t="s">
        <v>60</v>
      </c>
      <c r="R6" t="s">
        <v>60</v>
      </c>
      <c r="S6" t="s">
        <v>167</v>
      </c>
      <c r="T6" t="s">
        <v>445</v>
      </c>
      <c r="U6" t="s">
        <v>233</v>
      </c>
      <c r="V6" t="s">
        <v>328</v>
      </c>
      <c r="W6" t="s">
        <v>60</v>
      </c>
      <c r="X6" t="s">
        <v>60</v>
      </c>
      <c r="Y6" t="s">
        <v>56</v>
      </c>
      <c r="Z6" t="s">
        <v>57</v>
      </c>
      <c r="AA6" t="s">
        <v>60</v>
      </c>
      <c r="AB6" t="s">
        <v>60</v>
      </c>
      <c r="AC6" t="s">
        <v>60</v>
      </c>
      <c r="AD6" t="s">
        <v>60</v>
      </c>
      <c r="AE6" t="s">
        <v>60</v>
      </c>
      <c r="AF6" t="s">
        <v>60</v>
      </c>
      <c r="AG6" t="s">
        <v>362</v>
      </c>
      <c r="AH6" t="s">
        <v>375</v>
      </c>
      <c r="AI6" t="s">
        <v>133</v>
      </c>
      <c r="AJ6" t="s">
        <v>331</v>
      </c>
      <c r="AK6">
        <v>5</v>
      </c>
      <c r="AL6">
        <v>275</v>
      </c>
      <c r="AM6">
        <v>0</v>
      </c>
      <c r="AN6">
        <v>0</v>
      </c>
      <c r="AO6" t="s">
        <v>60</v>
      </c>
      <c r="AP6" t="s">
        <v>60</v>
      </c>
      <c r="AQ6" t="s">
        <v>121</v>
      </c>
      <c r="AR6" t="s">
        <v>60</v>
      </c>
      <c r="AS6" t="s">
        <v>60</v>
      </c>
      <c r="AT6" t="s">
        <v>512</v>
      </c>
      <c r="AU6" t="s">
        <v>513</v>
      </c>
      <c r="AV6" t="s">
        <v>514</v>
      </c>
      <c r="AW6" t="s">
        <v>515</v>
      </c>
      <c r="AX6" t="s">
        <v>516</v>
      </c>
      <c r="AY6" t="s">
        <v>121</v>
      </c>
      <c r="AZ6" t="s">
        <v>565</v>
      </c>
      <c r="BA6" t="s">
        <v>60</v>
      </c>
      <c r="BB6" t="s">
        <v>60</v>
      </c>
      <c r="BC6" t="s">
        <v>60</v>
      </c>
      <c r="BD6" t="s">
        <v>60</v>
      </c>
      <c r="BE6" t="s">
        <v>60</v>
      </c>
      <c r="BF6" t="s">
        <v>60</v>
      </c>
      <c r="BG6" t="s">
        <v>60</v>
      </c>
      <c r="BH6" t="s">
        <v>60</v>
      </c>
      <c r="BI6" t="s">
        <v>58</v>
      </c>
      <c r="BJ6" t="s">
        <v>59</v>
      </c>
      <c r="BK6" t="s">
        <v>398</v>
      </c>
      <c r="BL6" t="s">
        <v>399</v>
      </c>
    </row>
    <row r="7" spans="1:64" x14ac:dyDescent="0.25">
      <c r="A7">
        <v>798</v>
      </c>
      <c r="B7" t="s">
        <v>226</v>
      </c>
      <c r="C7" t="s">
        <v>156</v>
      </c>
      <c r="D7" t="s">
        <v>25</v>
      </c>
      <c r="E7">
        <v>5</v>
      </c>
      <c r="F7">
        <v>55</v>
      </c>
      <c r="G7">
        <v>275</v>
      </c>
      <c r="H7" s="2">
        <v>45207</v>
      </c>
      <c r="I7" t="s">
        <v>168</v>
      </c>
      <c r="J7" t="s">
        <v>55</v>
      </c>
      <c r="K7" t="s">
        <v>60</v>
      </c>
      <c r="L7" t="s">
        <v>60</v>
      </c>
      <c r="M7" t="s">
        <v>169</v>
      </c>
      <c r="N7" t="s">
        <v>326</v>
      </c>
      <c r="O7" t="s">
        <v>60</v>
      </c>
      <c r="P7" t="s">
        <v>60</v>
      </c>
      <c r="Q7" t="s">
        <v>60</v>
      </c>
      <c r="R7" t="s">
        <v>60</v>
      </c>
      <c r="S7" t="s">
        <v>90</v>
      </c>
      <c r="T7" t="s">
        <v>327</v>
      </c>
      <c r="U7" t="s">
        <v>233</v>
      </c>
      <c r="V7" t="s">
        <v>328</v>
      </c>
      <c r="W7" t="s">
        <v>135</v>
      </c>
      <c r="X7" t="s">
        <v>332</v>
      </c>
      <c r="Y7" t="s">
        <v>56</v>
      </c>
      <c r="Z7" t="s">
        <v>57</v>
      </c>
      <c r="AA7" t="s">
        <v>60</v>
      </c>
      <c r="AB7" t="s">
        <v>60</v>
      </c>
      <c r="AC7" t="s">
        <v>60</v>
      </c>
      <c r="AD7" t="s">
        <v>60</v>
      </c>
      <c r="AE7" t="s">
        <v>60</v>
      </c>
      <c r="AF7" t="s">
        <v>60</v>
      </c>
      <c r="AG7" t="s">
        <v>169</v>
      </c>
      <c r="AH7" t="s">
        <v>330</v>
      </c>
      <c r="AI7" t="s">
        <v>133</v>
      </c>
      <c r="AJ7" t="s">
        <v>331</v>
      </c>
      <c r="AK7">
        <v>5</v>
      </c>
      <c r="AL7">
        <v>275</v>
      </c>
      <c r="AM7">
        <v>0</v>
      </c>
      <c r="AN7">
        <v>0</v>
      </c>
      <c r="AO7" t="s">
        <v>60</v>
      </c>
      <c r="AP7" t="s">
        <v>60</v>
      </c>
      <c r="AQ7" t="s">
        <v>60</v>
      </c>
      <c r="AR7" t="s">
        <v>60</v>
      </c>
      <c r="AS7" t="s">
        <v>60</v>
      </c>
      <c r="AT7" t="s">
        <v>517</v>
      </c>
      <c r="AU7" t="s">
        <v>517</v>
      </c>
      <c r="AV7" t="s">
        <v>518</v>
      </c>
      <c r="AW7" t="s">
        <v>519</v>
      </c>
      <c r="AX7" t="s">
        <v>520</v>
      </c>
      <c r="AY7" t="s">
        <v>121</v>
      </c>
      <c r="AZ7" t="s">
        <v>566</v>
      </c>
      <c r="BA7" t="s">
        <v>60</v>
      </c>
      <c r="BB7" t="s">
        <v>60</v>
      </c>
      <c r="BC7" t="s">
        <v>60</v>
      </c>
      <c r="BD7" t="s">
        <v>60</v>
      </c>
      <c r="BE7" t="s">
        <v>60</v>
      </c>
      <c r="BF7" t="s">
        <v>60</v>
      </c>
      <c r="BG7" t="s">
        <v>60</v>
      </c>
      <c r="BH7" t="s">
        <v>60</v>
      </c>
      <c r="BI7" t="s">
        <v>58</v>
      </c>
      <c r="BJ7" t="s">
        <v>59</v>
      </c>
      <c r="BK7" t="s">
        <v>191</v>
      </c>
      <c r="BL7" t="s">
        <v>335</v>
      </c>
    </row>
    <row r="8" spans="1:64" x14ac:dyDescent="0.25">
      <c r="A8">
        <v>894</v>
      </c>
      <c r="B8" t="s">
        <v>371</v>
      </c>
      <c r="C8" t="s">
        <v>358</v>
      </c>
      <c r="D8" t="s">
        <v>25</v>
      </c>
      <c r="E8">
        <v>5</v>
      </c>
      <c r="F8">
        <v>55</v>
      </c>
      <c r="G8">
        <v>275</v>
      </c>
      <c r="H8" s="2">
        <v>45207</v>
      </c>
      <c r="I8" t="s">
        <v>168</v>
      </c>
      <c r="J8" t="s">
        <v>55</v>
      </c>
      <c r="K8" t="s">
        <v>135</v>
      </c>
      <c r="L8" t="s">
        <v>326</v>
      </c>
      <c r="M8" t="s">
        <v>453</v>
      </c>
      <c r="N8" t="s">
        <v>454</v>
      </c>
      <c r="O8" t="s">
        <v>60</v>
      </c>
      <c r="P8" t="s">
        <v>60</v>
      </c>
      <c r="Q8" t="s">
        <v>60</v>
      </c>
      <c r="R8" t="s">
        <v>60</v>
      </c>
      <c r="S8" t="s">
        <v>167</v>
      </c>
      <c r="T8" t="s">
        <v>445</v>
      </c>
      <c r="U8" t="s">
        <v>233</v>
      </c>
      <c r="V8" t="s">
        <v>328</v>
      </c>
      <c r="W8" t="s">
        <v>60</v>
      </c>
      <c r="X8" t="s">
        <v>60</v>
      </c>
      <c r="Y8" t="s">
        <v>56</v>
      </c>
      <c r="Z8" t="s">
        <v>57</v>
      </c>
      <c r="AA8" t="s">
        <v>60</v>
      </c>
      <c r="AB8" t="s">
        <v>60</v>
      </c>
      <c r="AC8" t="s">
        <v>60</v>
      </c>
      <c r="AD8" t="s">
        <v>60</v>
      </c>
      <c r="AE8" t="s">
        <v>60</v>
      </c>
      <c r="AF8" t="s">
        <v>60</v>
      </c>
      <c r="AG8" t="s">
        <v>453</v>
      </c>
      <c r="AH8" t="s">
        <v>455</v>
      </c>
      <c r="AI8" t="s">
        <v>133</v>
      </c>
      <c r="AJ8" t="s">
        <v>331</v>
      </c>
      <c r="AK8">
        <v>5</v>
      </c>
      <c r="AL8">
        <v>275</v>
      </c>
      <c r="AM8">
        <v>0</v>
      </c>
      <c r="AN8">
        <v>0</v>
      </c>
      <c r="AO8" t="s">
        <v>60</v>
      </c>
      <c r="AP8" t="s">
        <v>60</v>
      </c>
      <c r="AQ8" t="s">
        <v>60</v>
      </c>
      <c r="AR8" t="s">
        <v>60</v>
      </c>
      <c r="AS8" t="s">
        <v>60</v>
      </c>
      <c r="AT8" t="s">
        <v>528</v>
      </c>
      <c r="AU8" t="s">
        <v>528</v>
      </c>
      <c r="AV8" t="s">
        <v>529</v>
      </c>
      <c r="AW8" t="s">
        <v>530</v>
      </c>
      <c r="AX8" t="s">
        <v>531</v>
      </c>
      <c r="AY8" t="s">
        <v>121</v>
      </c>
      <c r="AZ8" t="s">
        <v>568</v>
      </c>
      <c r="BA8" t="s">
        <v>60</v>
      </c>
      <c r="BB8" t="s">
        <v>60</v>
      </c>
      <c r="BC8" t="s">
        <v>60</v>
      </c>
      <c r="BD8" t="s">
        <v>60</v>
      </c>
      <c r="BE8" t="s">
        <v>60</v>
      </c>
      <c r="BF8" t="s">
        <v>60</v>
      </c>
      <c r="BG8" t="s">
        <v>60</v>
      </c>
      <c r="BH8" t="s">
        <v>60</v>
      </c>
      <c r="BI8" t="s">
        <v>58</v>
      </c>
      <c r="BJ8" t="s">
        <v>59</v>
      </c>
      <c r="BK8" t="s">
        <v>532</v>
      </c>
      <c r="BL8" t="s">
        <v>533</v>
      </c>
    </row>
    <row r="9" spans="1:64" x14ac:dyDescent="0.25">
      <c r="A9">
        <v>794</v>
      </c>
      <c r="B9" t="s">
        <v>391</v>
      </c>
      <c r="C9" t="s">
        <v>325</v>
      </c>
      <c r="D9" t="s">
        <v>25</v>
      </c>
      <c r="E9">
        <v>6</v>
      </c>
      <c r="F9">
        <v>55</v>
      </c>
      <c r="G9">
        <v>330</v>
      </c>
      <c r="H9" s="2">
        <v>45207</v>
      </c>
      <c r="I9" t="s">
        <v>168</v>
      </c>
      <c r="J9" t="s">
        <v>55</v>
      </c>
      <c r="K9" t="s">
        <v>135</v>
      </c>
      <c r="L9" t="s">
        <v>326</v>
      </c>
      <c r="M9" t="s">
        <v>372</v>
      </c>
      <c r="N9" t="s">
        <v>373</v>
      </c>
      <c r="O9" t="s">
        <v>60</v>
      </c>
      <c r="P9" t="s">
        <v>60</v>
      </c>
      <c r="Q9" t="s">
        <v>60</v>
      </c>
      <c r="R9" t="s">
        <v>60</v>
      </c>
      <c r="S9" t="s">
        <v>90</v>
      </c>
      <c r="T9" t="s">
        <v>327</v>
      </c>
      <c r="U9" t="s">
        <v>233</v>
      </c>
      <c r="V9" t="s">
        <v>328</v>
      </c>
      <c r="W9" t="s">
        <v>60</v>
      </c>
      <c r="X9" t="s">
        <v>60</v>
      </c>
      <c r="Y9" t="s">
        <v>56</v>
      </c>
      <c r="Z9" t="s">
        <v>57</v>
      </c>
      <c r="AA9" t="s">
        <v>60</v>
      </c>
      <c r="AB9" t="s">
        <v>60</v>
      </c>
      <c r="AC9" t="s">
        <v>60</v>
      </c>
      <c r="AD9" t="s">
        <v>60</v>
      </c>
      <c r="AE9" t="s">
        <v>60</v>
      </c>
      <c r="AF9" t="s">
        <v>60</v>
      </c>
      <c r="AG9" t="s">
        <v>372</v>
      </c>
      <c r="AH9" t="s">
        <v>458</v>
      </c>
      <c r="AI9" t="s">
        <v>167</v>
      </c>
      <c r="AJ9" t="s">
        <v>459</v>
      </c>
      <c r="AK9">
        <v>6</v>
      </c>
      <c r="AL9">
        <v>330</v>
      </c>
      <c r="AM9">
        <v>0</v>
      </c>
      <c r="AN9">
        <v>0</v>
      </c>
      <c r="AO9" t="s">
        <v>60</v>
      </c>
      <c r="AP9" t="s">
        <v>60</v>
      </c>
      <c r="AQ9" t="s">
        <v>60</v>
      </c>
      <c r="AR9" t="s">
        <v>60</v>
      </c>
      <c r="AS9" t="s">
        <v>60</v>
      </c>
      <c r="AT9" t="s">
        <v>546</v>
      </c>
      <c r="AU9" t="s">
        <v>546</v>
      </c>
      <c r="AV9" t="s">
        <v>547</v>
      </c>
      <c r="AW9" t="s">
        <v>548</v>
      </c>
      <c r="AX9" t="s">
        <v>549</v>
      </c>
      <c r="AY9" t="s">
        <v>121</v>
      </c>
      <c r="AZ9" t="s">
        <v>573</v>
      </c>
      <c r="BA9" t="s">
        <v>60</v>
      </c>
      <c r="BB9" t="s">
        <v>60</v>
      </c>
      <c r="BC9" t="s">
        <v>60</v>
      </c>
      <c r="BD9" t="s">
        <v>60</v>
      </c>
      <c r="BE9" t="s">
        <v>60</v>
      </c>
      <c r="BF9" t="s">
        <v>60</v>
      </c>
      <c r="BG9" t="s">
        <v>60</v>
      </c>
      <c r="BH9" t="s">
        <v>60</v>
      </c>
      <c r="BI9" t="s">
        <v>58</v>
      </c>
      <c r="BJ9" t="s">
        <v>59</v>
      </c>
      <c r="BK9" t="s">
        <v>550</v>
      </c>
      <c r="BL9" t="s">
        <v>551</v>
      </c>
    </row>
    <row r="10" spans="1:64" x14ac:dyDescent="0.25">
      <c r="A10">
        <v>667</v>
      </c>
      <c r="B10" t="s">
        <v>170</v>
      </c>
      <c r="C10" t="s">
        <v>348</v>
      </c>
      <c r="D10" t="s">
        <v>25</v>
      </c>
      <c r="E10">
        <v>5</v>
      </c>
      <c r="F10">
        <v>55</v>
      </c>
      <c r="G10">
        <v>275</v>
      </c>
      <c r="H10" s="2">
        <v>45207</v>
      </c>
      <c r="I10" t="s">
        <v>168</v>
      </c>
      <c r="J10" t="s">
        <v>55</v>
      </c>
      <c r="K10" t="s">
        <v>60</v>
      </c>
      <c r="L10" t="s">
        <v>60</v>
      </c>
      <c r="M10" t="s">
        <v>169</v>
      </c>
      <c r="N10" t="s">
        <v>326</v>
      </c>
      <c r="O10" t="s">
        <v>60</v>
      </c>
      <c r="P10" t="s">
        <v>60</v>
      </c>
      <c r="Q10" t="s">
        <v>60</v>
      </c>
      <c r="R10" t="s">
        <v>60</v>
      </c>
      <c r="S10" t="s">
        <v>90</v>
      </c>
      <c r="T10" t="s">
        <v>327</v>
      </c>
      <c r="U10" t="s">
        <v>233</v>
      </c>
      <c r="V10" t="s">
        <v>328</v>
      </c>
      <c r="W10" t="s">
        <v>135</v>
      </c>
      <c r="X10" t="s">
        <v>332</v>
      </c>
      <c r="Y10" t="s">
        <v>56</v>
      </c>
      <c r="Z10" t="s">
        <v>57</v>
      </c>
      <c r="AA10" t="s">
        <v>60</v>
      </c>
      <c r="AB10" t="s">
        <v>60</v>
      </c>
      <c r="AC10" t="s">
        <v>60</v>
      </c>
      <c r="AD10" t="s">
        <v>60</v>
      </c>
      <c r="AE10" t="s">
        <v>60</v>
      </c>
      <c r="AF10" t="s">
        <v>60</v>
      </c>
      <c r="AG10" t="s">
        <v>169</v>
      </c>
      <c r="AH10" t="s">
        <v>330</v>
      </c>
      <c r="AI10" t="s">
        <v>133</v>
      </c>
      <c r="AJ10" t="s">
        <v>331</v>
      </c>
      <c r="AK10">
        <v>5</v>
      </c>
      <c r="AL10">
        <v>275</v>
      </c>
      <c r="AM10">
        <v>0</v>
      </c>
      <c r="AN10">
        <v>0</v>
      </c>
      <c r="AO10" t="s">
        <v>60</v>
      </c>
      <c r="AP10" t="s">
        <v>60</v>
      </c>
      <c r="AQ10" t="s">
        <v>60</v>
      </c>
      <c r="AR10" t="s">
        <v>60</v>
      </c>
      <c r="AS10" t="s">
        <v>60</v>
      </c>
      <c r="AT10" t="s">
        <v>517</v>
      </c>
      <c r="AU10" t="s">
        <v>517</v>
      </c>
      <c r="AV10" t="s">
        <v>552</v>
      </c>
      <c r="AW10" t="s">
        <v>553</v>
      </c>
      <c r="AX10" t="s">
        <v>520</v>
      </c>
      <c r="AY10" t="s">
        <v>121</v>
      </c>
      <c r="AZ10" t="s">
        <v>566</v>
      </c>
      <c r="BA10" t="s">
        <v>60</v>
      </c>
      <c r="BB10" t="s">
        <v>60</v>
      </c>
      <c r="BC10" t="s">
        <v>60</v>
      </c>
      <c r="BD10" t="s">
        <v>60</v>
      </c>
      <c r="BE10" t="s">
        <v>60</v>
      </c>
      <c r="BF10" t="s">
        <v>60</v>
      </c>
      <c r="BG10" t="s">
        <v>60</v>
      </c>
      <c r="BH10" t="s">
        <v>60</v>
      </c>
      <c r="BI10" t="s">
        <v>58</v>
      </c>
      <c r="BJ10" t="s">
        <v>59</v>
      </c>
      <c r="BK10" t="s">
        <v>191</v>
      </c>
      <c r="BL10" t="s">
        <v>335</v>
      </c>
    </row>
    <row r="11" spans="1:64" x14ac:dyDescent="0.25">
      <c r="A11">
        <v>115</v>
      </c>
      <c r="B11" t="s">
        <v>298</v>
      </c>
      <c r="C11" t="s">
        <v>293</v>
      </c>
      <c r="D11" t="s">
        <v>25</v>
      </c>
      <c r="E11">
        <v>6</v>
      </c>
      <c r="F11">
        <v>55</v>
      </c>
      <c r="G11">
        <v>330</v>
      </c>
      <c r="H11" s="2">
        <v>45207</v>
      </c>
      <c r="I11" t="s">
        <v>168</v>
      </c>
      <c r="J11" t="s">
        <v>55</v>
      </c>
      <c r="K11" t="s">
        <v>135</v>
      </c>
      <c r="L11" t="s">
        <v>326</v>
      </c>
      <c r="M11" t="s">
        <v>372</v>
      </c>
      <c r="N11" t="s">
        <v>373</v>
      </c>
      <c r="O11" t="s">
        <v>60</v>
      </c>
      <c r="P11" t="s">
        <v>60</v>
      </c>
      <c r="Q11" t="s">
        <v>60</v>
      </c>
      <c r="R11" t="s">
        <v>60</v>
      </c>
      <c r="S11" t="s">
        <v>464</v>
      </c>
      <c r="T11" t="s">
        <v>465</v>
      </c>
      <c r="U11" t="s">
        <v>233</v>
      </c>
      <c r="V11" t="s">
        <v>328</v>
      </c>
      <c r="W11" t="s">
        <v>60</v>
      </c>
      <c r="X11" t="s">
        <v>60</v>
      </c>
      <c r="Y11" t="s">
        <v>56</v>
      </c>
      <c r="Z11" t="s">
        <v>57</v>
      </c>
      <c r="AA11" t="s">
        <v>60</v>
      </c>
      <c r="AB11" t="s">
        <v>60</v>
      </c>
      <c r="AC11" t="s">
        <v>60</v>
      </c>
      <c r="AD11" t="s">
        <v>60</v>
      </c>
      <c r="AE11" t="s">
        <v>60</v>
      </c>
      <c r="AF11" t="s">
        <v>60</v>
      </c>
      <c r="AG11" t="s">
        <v>372</v>
      </c>
      <c r="AH11" t="s">
        <v>458</v>
      </c>
      <c r="AI11" t="s">
        <v>167</v>
      </c>
      <c r="AJ11" t="s">
        <v>459</v>
      </c>
      <c r="AK11">
        <v>6</v>
      </c>
      <c r="AL11">
        <v>330</v>
      </c>
      <c r="AM11">
        <v>0</v>
      </c>
      <c r="AN11">
        <v>0</v>
      </c>
      <c r="AO11" t="s">
        <v>60</v>
      </c>
      <c r="AP11" t="s">
        <v>60</v>
      </c>
      <c r="AQ11" t="s">
        <v>60</v>
      </c>
      <c r="AR11" t="s">
        <v>60</v>
      </c>
      <c r="AS11" t="s">
        <v>60</v>
      </c>
      <c r="AT11" t="s">
        <v>554</v>
      </c>
      <c r="AU11" t="s">
        <v>554</v>
      </c>
      <c r="AV11" t="s">
        <v>555</v>
      </c>
      <c r="AW11" t="s">
        <v>556</v>
      </c>
      <c r="AX11" t="s">
        <v>557</v>
      </c>
      <c r="AY11" t="s">
        <v>121</v>
      </c>
      <c r="AZ11" t="s">
        <v>580</v>
      </c>
      <c r="BA11" t="s">
        <v>60</v>
      </c>
      <c r="BB11" t="s">
        <v>60</v>
      </c>
      <c r="BC11" t="s">
        <v>60</v>
      </c>
      <c r="BD11" t="s">
        <v>60</v>
      </c>
      <c r="BE11" t="s">
        <v>60</v>
      </c>
      <c r="BF11" t="s">
        <v>60</v>
      </c>
      <c r="BG11" t="s">
        <v>60</v>
      </c>
      <c r="BH11" t="s">
        <v>60</v>
      </c>
      <c r="BI11" t="s">
        <v>58</v>
      </c>
      <c r="BJ11" t="s">
        <v>59</v>
      </c>
      <c r="BK11" t="s">
        <v>550</v>
      </c>
      <c r="BL11" t="s">
        <v>551</v>
      </c>
    </row>
    <row r="12" spans="1:64" x14ac:dyDescent="0.25">
      <c r="A12">
        <v>631</v>
      </c>
      <c r="B12" t="s">
        <v>266</v>
      </c>
      <c r="C12" t="s">
        <v>182</v>
      </c>
      <c r="D12" t="s">
        <v>25</v>
      </c>
      <c r="E12">
        <v>5</v>
      </c>
      <c r="F12">
        <v>55</v>
      </c>
      <c r="G12">
        <v>275</v>
      </c>
      <c r="H12" s="2">
        <v>45207</v>
      </c>
      <c r="I12" t="s">
        <v>265</v>
      </c>
      <c r="J12" t="s">
        <v>55</v>
      </c>
      <c r="K12" t="s">
        <v>135</v>
      </c>
      <c r="L12" t="s">
        <v>326</v>
      </c>
      <c r="M12" t="s">
        <v>428</v>
      </c>
      <c r="N12" t="s">
        <v>429</v>
      </c>
      <c r="O12" t="s">
        <v>60</v>
      </c>
      <c r="P12" t="s">
        <v>60</v>
      </c>
      <c r="Q12" t="s">
        <v>60</v>
      </c>
      <c r="R12" t="s">
        <v>60</v>
      </c>
      <c r="S12" t="s">
        <v>90</v>
      </c>
      <c r="T12" t="s">
        <v>327</v>
      </c>
      <c r="U12" t="s">
        <v>233</v>
      </c>
      <c r="V12" t="s">
        <v>328</v>
      </c>
      <c r="W12" t="s">
        <v>60</v>
      </c>
      <c r="X12" t="s">
        <v>60</v>
      </c>
      <c r="Y12" t="s">
        <v>56</v>
      </c>
      <c r="Z12" t="s">
        <v>57</v>
      </c>
      <c r="AA12" t="s">
        <v>60</v>
      </c>
      <c r="AB12" t="s">
        <v>60</v>
      </c>
      <c r="AC12" t="s">
        <v>60</v>
      </c>
      <c r="AD12" t="s">
        <v>60</v>
      </c>
      <c r="AE12" t="s">
        <v>60</v>
      </c>
      <c r="AF12" t="s">
        <v>60</v>
      </c>
      <c r="AG12" t="s">
        <v>428</v>
      </c>
      <c r="AH12" t="s">
        <v>430</v>
      </c>
      <c r="AI12" t="s">
        <v>133</v>
      </c>
      <c r="AJ12" t="s">
        <v>331</v>
      </c>
      <c r="AK12">
        <v>5</v>
      </c>
      <c r="AL12">
        <v>275</v>
      </c>
      <c r="AM12">
        <v>0</v>
      </c>
      <c r="AN12">
        <v>0</v>
      </c>
      <c r="AO12" t="s">
        <v>60</v>
      </c>
      <c r="AP12" t="s">
        <v>60</v>
      </c>
      <c r="AQ12" t="s">
        <v>60</v>
      </c>
      <c r="AR12" t="s">
        <v>60</v>
      </c>
      <c r="AS12" t="s">
        <v>471</v>
      </c>
      <c r="AT12" t="s">
        <v>472</v>
      </c>
      <c r="AU12" t="s">
        <v>472</v>
      </c>
      <c r="AV12" t="s">
        <v>473</v>
      </c>
      <c r="AW12" t="s">
        <v>474</v>
      </c>
      <c r="AX12" t="s">
        <v>475</v>
      </c>
      <c r="AY12" t="s">
        <v>121</v>
      </c>
      <c r="AZ12" t="s">
        <v>560</v>
      </c>
      <c r="BA12" t="s">
        <v>60</v>
      </c>
      <c r="BB12" t="s">
        <v>60</v>
      </c>
      <c r="BC12" t="s">
        <v>60</v>
      </c>
      <c r="BD12" t="s">
        <v>60</v>
      </c>
      <c r="BE12" t="s">
        <v>60</v>
      </c>
      <c r="BF12" t="s">
        <v>60</v>
      </c>
      <c r="BG12" t="s">
        <v>60</v>
      </c>
      <c r="BH12" t="s">
        <v>60</v>
      </c>
      <c r="BI12" t="s">
        <v>58</v>
      </c>
      <c r="BJ12" t="s">
        <v>59</v>
      </c>
      <c r="BK12" t="s">
        <v>476</v>
      </c>
      <c r="BL12" t="s">
        <v>477</v>
      </c>
    </row>
    <row r="13" spans="1:64" x14ac:dyDescent="0.25">
      <c r="A13">
        <v>772</v>
      </c>
      <c r="B13" t="s">
        <v>333</v>
      </c>
      <c r="C13" t="s">
        <v>174</v>
      </c>
      <c r="D13" t="s">
        <v>25</v>
      </c>
      <c r="E13">
        <v>6</v>
      </c>
      <c r="F13">
        <v>55</v>
      </c>
      <c r="G13">
        <v>330</v>
      </c>
      <c r="H13" s="2">
        <v>45207</v>
      </c>
      <c r="I13" t="s">
        <v>265</v>
      </c>
      <c r="J13" t="s">
        <v>55</v>
      </c>
      <c r="K13" t="s">
        <v>135</v>
      </c>
      <c r="L13" t="s">
        <v>326</v>
      </c>
      <c r="M13" t="s">
        <v>450</v>
      </c>
      <c r="N13" t="s">
        <v>451</v>
      </c>
      <c r="O13" t="s">
        <v>60</v>
      </c>
      <c r="P13" t="s">
        <v>60</v>
      </c>
      <c r="Q13" t="s">
        <v>60</v>
      </c>
      <c r="R13" t="s">
        <v>60</v>
      </c>
      <c r="S13" t="s">
        <v>90</v>
      </c>
      <c r="T13" t="s">
        <v>327</v>
      </c>
      <c r="U13" t="s">
        <v>233</v>
      </c>
      <c r="V13" t="s">
        <v>328</v>
      </c>
      <c r="W13" t="s">
        <v>60</v>
      </c>
      <c r="X13" t="s">
        <v>60</v>
      </c>
      <c r="Y13" t="s">
        <v>56</v>
      </c>
      <c r="Z13" t="s">
        <v>57</v>
      </c>
      <c r="AA13" t="s">
        <v>60</v>
      </c>
      <c r="AB13" t="s">
        <v>60</v>
      </c>
      <c r="AC13" t="s">
        <v>60</v>
      </c>
      <c r="AD13" t="s">
        <v>60</v>
      </c>
      <c r="AE13" t="s">
        <v>60</v>
      </c>
      <c r="AF13" t="s">
        <v>60</v>
      </c>
      <c r="AG13" t="s">
        <v>450</v>
      </c>
      <c r="AH13" t="s">
        <v>452</v>
      </c>
      <c r="AI13" t="s">
        <v>431</v>
      </c>
      <c r="AJ13" t="s">
        <v>433</v>
      </c>
      <c r="AK13">
        <v>6</v>
      </c>
      <c r="AL13">
        <v>330</v>
      </c>
      <c r="AM13">
        <v>0</v>
      </c>
      <c r="AN13">
        <v>0</v>
      </c>
      <c r="AO13" t="s">
        <v>60</v>
      </c>
      <c r="AP13" t="s">
        <v>60</v>
      </c>
      <c r="AQ13" t="s">
        <v>121</v>
      </c>
      <c r="AR13" t="s">
        <v>60</v>
      </c>
      <c r="AS13" t="s">
        <v>60</v>
      </c>
      <c r="AT13" t="s">
        <v>521</v>
      </c>
      <c r="AU13" t="s">
        <v>522</v>
      </c>
      <c r="AV13" t="s">
        <v>523</v>
      </c>
      <c r="AW13" t="s">
        <v>524</v>
      </c>
      <c r="AX13" t="s">
        <v>525</v>
      </c>
      <c r="AY13" t="s">
        <v>121</v>
      </c>
      <c r="AZ13" t="s">
        <v>567</v>
      </c>
      <c r="BA13" t="s">
        <v>60</v>
      </c>
      <c r="BB13" t="s">
        <v>60</v>
      </c>
      <c r="BC13" t="s">
        <v>60</v>
      </c>
      <c r="BD13" t="s">
        <v>60</v>
      </c>
      <c r="BE13" t="s">
        <v>60</v>
      </c>
      <c r="BF13" t="s">
        <v>60</v>
      </c>
      <c r="BG13" t="s">
        <v>60</v>
      </c>
      <c r="BH13" t="s">
        <v>60</v>
      </c>
      <c r="BI13" t="s">
        <v>58</v>
      </c>
      <c r="BJ13" t="s">
        <v>59</v>
      </c>
      <c r="BK13" t="s">
        <v>526</v>
      </c>
      <c r="BL13" t="s">
        <v>527</v>
      </c>
    </row>
    <row r="14" spans="1:64" x14ac:dyDescent="0.25">
      <c r="A14">
        <v>774</v>
      </c>
      <c r="B14" t="s">
        <v>251</v>
      </c>
      <c r="C14" t="s">
        <v>146</v>
      </c>
      <c r="D14" t="s">
        <v>25</v>
      </c>
      <c r="E14">
        <v>6</v>
      </c>
      <c r="F14">
        <v>52.9</v>
      </c>
      <c r="G14">
        <v>317.39999999999998</v>
      </c>
      <c r="H14" s="2">
        <v>45207</v>
      </c>
      <c r="I14" t="s">
        <v>220</v>
      </c>
      <c r="J14" t="s">
        <v>55</v>
      </c>
      <c r="K14" t="s">
        <v>60</v>
      </c>
      <c r="L14" t="s">
        <v>60</v>
      </c>
      <c r="M14" t="s">
        <v>60</v>
      </c>
      <c r="N14" t="s">
        <v>60</v>
      </c>
      <c r="O14" t="s">
        <v>60</v>
      </c>
      <c r="P14" t="s">
        <v>60</v>
      </c>
      <c r="Q14" t="s">
        <v>60</v>
      </c>
      <c r="R14" t="s">
        <v>60</v>
      </c>
      <c r="S14" t="s">
        <v>60</v>
      </c>
      <c r="T14" t="s">
        <v>60</v>
      </c>
      <c r="U14" t="s">
        <v>424</v>
      </c>
      <c r="V14" t="s">
        <v>425</v>
      </c>
      <c r="W14" t="s">
        <v>60</v>
      </c>
      <c r="X14" t="s">
        <v>60</v>
      </c>
      <c r="Y14" t="s">
        <v>56</v>
      </c>
      <c r="Z14" t="s">
        <v>57</v>
      </c>
      <c r="AA14" t="s">
        <v>135</v>
      </c>
      <c r="AB14" t="s">
        <v>294</v>
      </c>
      <c r="AC14" t="s">
        <v>234</v>
      </c>
      <c r="AD14" t="s">
        <v>426</v>
      </c>
      <c r="AE14" t="s">
        <v>370</v>
      </c>
      <c r="AF14" t="s">
        <v>427</v>
      </c>
      <c r="AG14" t="s">
        <v>60</v>
      </c>
      <c r="AH14" t="s">
        <v>60</v>
      </c>
      <c r="AI14" t="s">
        <v>60</v>
      </c>
      <c r="AJ14" t="s">
        <v>60</v>
      </c>
      <c r="AK14">
        <v>0</v>
      </c>
      <c r="AL14">
        <v>0</v>
      </c>
      <c r="AM14">
        <v>6</v>
      </c>
      <c r="AN14">
        <v>317.39999999999998</v>
      </c>
      <c r="AO14" t="s">
        <v>167</v>
      </c>
      <c r="AP14" t="s">
        <v>303</v>
      </c>
      <c r="AQ14" t="s">
        <v>121</v>
      </c>
      <c r="AR14" t="s">
        <v>60</v>
      </c>
      <c r="AS14" t="s">
        <v>60</v>
      </c>
      <c r="AT14" t="s">
        <v>466</v>
      </c>
      <c r="AU14" t="s">
        <v>467</v>
      </c>
      <c r="AV14" t="s">
        <v>468</v>
      </c>
      <c r="AW14" t="s">
        <v>469</v>
      </c>
      <c r="AX14" t="s">
        <v>470</v>
      </c>
      <c r="AY14" t="s">
        <v>60</v>
      </c>
      <c r="AZ14" t="s">
        <v>60</v>
      </c>
      <c r="BA14" t="s">
        <v>304</v>
      </c>
      <c r="BB14" t="s">
        <v>239</v>
      </c>
      <c r="BC14" t="s">
        <v>559</v>
      </c>
      <c r="BD14" t="s">
        <v>60</v>
      </c>
      <c r="BE14" t="s">
        <v>60</v>
      </c>
      <c r="BF14" t="s">
        <v>60</v>
      </c>
      <c r="BG14" t="s">
        <v>60</v>
      </c>
      <c r="BH14" t="s">
        <v>60</v>
      </c>
      <c r="BI14" t="s">
        <v>58</v>
      </c>
      <c r="BJ14" t="s">
        <v>59</v>
      </c>
      <c r="BK14" t="s">
        <v>205</v>
      </c>
      <c r="BL14" t="s">
        <v>395</v>
      </c>
    </row>
    <row r="15" spans="1:64" x14ac:dyDescent="0.25">
      <c r="A15">
        <v>665</v>
      </c>
      <c r="B15" t="s">
        <v>64</v>
      </c>
      <c r="C15" t="s">
        <v>217</v>
      </c>
      <c r="D15" t="s">
        <v>25</v>
      </c>
      <c r="E15">
        <v>5</v>
      </c>
      <c r="F15">
        <v>52.9</v>
      </c>
      <c r="G15">
        <v>264.5</v>
      </c>
      <c r="H15" s="2">
        <v>45207</v>
      </c>
      <c r="I15" t="s">
        <v>220</v>
      </c>
      <c r="J15" t="s">
        <v>55</v>
      </c>
      <c r="K15" t="s">
        <v>90</v>
      </c>
      <c r="L15" t="s">
        <v>441</v>
      </c>
      <c r="M15" t="s">
        <v>60</v>
      </c>
      <c r="N15" t="s">
        <v>60</v>
      </c>
      <c r="O15" t="s">
        <v>60</v>
      </c>
      <c r="P15" t="s">
        <v>60</v>
      </c>
      <c r="Q15" t="s">
        <v>60</v>
      </c>
      <c r="R15" t="s">
        <v>60</v>
      </c>
      <c r="S15" t="s">
        <v>90</v>
      </c>
      <c r="T15" t="s">
        <v>441</v>
      </c>
      <c r="U15" t="s">
        <v>424</v>
      </c>
      <c r="V15" t="s">
        <v>425</v>
      </c>
      <c r="W15" t="s">
        <v>60</v>
      </c>
      <c r="X15" t="s">
        <v>60</v>
      </c>
      <c r="Y15" t="s">
        <v>56</v>
      </c>
      <c r="Z15" t="s">
        <v>57</v>
      </c>
      <c r="AA15" t="s">
        <v>90</v>
      </c>
      <c r="AB15" t="s">
        <v>442</v>
      </c>
      <c r="AC15" t="s">
        <v>135</v>
      </c>
      <c r="AD15" t="s">
        <v>294</v>
      </c>
      <c r="AE15" t="s">
        <v>60</v>
      </c>
      <c r="AF15" t="s">
        <v>60</v>
      </c>
      <c r="AG15" t="s">
        <v>60</v>
      </c>
      <c r="AH15" t="s">
        <v>60</v>
      </c>
      <c r="AI15" t="s">
        <v>60</v>
      </c>
      <c r="AJ15" t="s">
        <v>60</v>
      </c>
      <c r="AK15">
        <v>0</v>
      </c>
      <c r="AL15">
        <v>0</v>
      </c>
      <c r="AM15">
        <v>5</v>
      </c>
      <c r="AN15">
        <v>264.5</v>
      </c>
      <c r="AO15" t="s">
        <v>133</v>
      </c>
      <c r="AP15" t="s">
        <v>305</v>
      </c>
      <c r="AQ15" t="s">
        <v>60</v>
      </c>
      <c r="AR15" t="s">
        <v>394</v>
      </c>
      <c r="AS15" t="s">
        <v>60</v>
      </c>
      <c r="AT15" t="s">
        <v>492</v>
      </c>
      <c r="AU15" t="s">
        <v>492</v>
      </c>
      <c r="AV15" t="s">
        <v>493</v>
      </c>
      <c r="AW15" t="s">
        <v>494</v>
      </c>
      <c r="AX15" t="s">
        <v>495</v>
      </c>
      <c r="AY15" t="s">
        <v>60</v>
      </c>
      <c r="AZ15" t="s">
        <v>60</v>
      </c>
      <c r="BA15" t="s">
        <v>304</v>
      </c>
      <c r="BB15" t="s">
        <v>239</v>
      </c>
      <c r="BC15" t="s">
        <v>559</v>
      </c>
      <c r="BD15" t="s">
        <v>60</v>
      </c>
      <c r="BE15" t="s">
        <v>60</v>
      </c>
      <c r="BF15" t="s">
        <v>60</v>
      </c>
      <c r="BG15" t="s">
        <v>60</v>
      </c>
      <c r="BH15" t="s">
        <v>60</v>
      </c>
      <c r="BI15" t="s">
        <v>58</v>
      </c>
      <c r="BJ15" t="s">
        <v>59</v>
      </c>
      <c r="BK15" t="s">
        <v>191</v>
      </c>
      <c r="BL15" t="s">
        <v>307</v>
      </c>
    </row>
    <row r="16" spans="1:64" x14ac:dyDescent="0.25">
      <c r="A16">
        <v>246</v>
      </c>
      <c r="B16" t="s">
        <v>284</v>
      </c>
      <c r="C16" t="s">
        <v>282</v>
      </c>
      <c r="D16" t="s">
        <v>25</v>
      </c>
      <c r="E16">
        <v>5</v>
      </c>
      <c r="F16">
        <v>52.9</v>
      </c>
      <c r="G16">
        <v>264.5</v>
      </c>
      <c r="H16" s="2">
        <v>45207</v>
      </c>
      <c r="I16" t="s">
        <v>220</v>
      </c>
      <c r="J16" t="s">
        <v>55</v>
      </c>
      <c r="K16" t="s">
        <v>135</v>
      </c>
      <c r="L16" t="s">
        <v>296</v>
      </c>
      <c r="M16" t="s">
        <v>60</v>
      </c>
      <c r="N16" t="s">
        <v>60</v>
      </c>
      <c r="O16" t="s">
        <v>60</v>
      </c>
      <c r="P16" t="s">
        <v>60</v>
      </c>
      <c r="Q16" t="s">
        <v>60</v>
      </c>
      <c r="R16" t="s">
        <v>60</v>
      </c>
      <c r="S16" t="s">
        <v>90</v>
      </c>
      <c r="T16" t="s">
        <v>441</v>
      </c>
      <c r="U16" t="s">
        <v>233</v>
      </c>
      <c r="V16" t="s">
        <v>295</v>
      </c>
      <c r="W16" t="s">
        <v>60</v>
      </c>
      <c r="X16" t="s">
        <v>60</v>
      </c>
      <c r="Y16" t="s">
        <v>56</v>
      </c>
      <c r="Z16" t="s">
        <v>57</v>
      </c>
      <c r="AA16" t="s">
        <v>169</v>
      </c>
      <c r="AB16" t="s">
        <v>297</v>
      </c>
      <c r="AC16" t="s">
        <v>60</v>
      </c>
      <c r="AD16" t="s">
        <v>60</v>
      </c>
      <c r="AE16" t="s">
        <v>456</v>
      </c>
      <c r="AF16" t="s">
        <v>457</v>
      </c>
      <c r="AG16" t="s">
        <v>60</v>
      </c>
      <c r="AH16" t="s">
        <v>60</v>
      </c>
      <c r="AI16" t="s">
        <v>60</v>
      </c>
      <c r="AJ16" t="s">
        <v>60</v>
      </c>
      <c r="AK16">
        <v>0</v>
      </c>
      <c r="AL16">
        <v>0</v>
      </c>
      <c r="AM16">
        <v>5</v>
      </c>
      <c r="AN16">
        <v>264.5</v>
      </c>
      <c r="AO16" t="s">
        <v>133</v>
      </c>
      <c r="AP16" t="s">
        <v>305</v>
      </c>
      <c r="AQ16" t="s">
        <v>60</v>
      </c>
      <c r="AR16" t="s">
        <v>60</v>
      </c>
      <c r="AS16" t="s">
        <v>60</v>
      </c>
      <c r="AT16" t="s">
        <v>540</v>
      </c>
      <c r="AU16" t="s">
        <v>540</v>
      </c>
      <c r="AV16" t="s">
        <v>541</v>
      </c>
      <c r="AW16" t="s">
        <v>542</v>
      </c>
      <c r="AX16" t="s">
        <v>543</v>
      </c>
      <c r="AY16" t="s">
        <v>60</v>
      </c>
      <c r="AZ16" t="s">
        <v>60</v>
      </c>
      <c r="BA16" t="s">
        <v>304</v>
      </c>
      <c r="BB16" t="s">
        <v>239</v>
      </c>
      <c r="BC16" t="s">
        <v>559</v>
      </c>
      <c r="BD16" t="s">
        <v>60</v>
      </c>
      <c r="BE16" t="s">
        <v>60</v>
      </c>
      <c r="BF16" t="s">
        <v>60</v>
      </c>
      <c r="BG16" t="s">
        <v>60</v>
      </c>
      <c r="BH16" t="s">
        <v>60</v>
      </c>
      <c r="BI16" t="s">
        <v>58</v>
      </c>
      <c r="BJ16" t="s">
        <v>59</v>
      </c>
      <c r="BK16" t="s">
        <v>191</v>
      </c>
      <c r="BL16" t="s">
        <v>307</v>
      </c>
    </row>
    <row r="17" spans="1:64" x14ac:dyDescent="0.25">
      <c r="A17">
        <v>836</v>
      </c>
      <c r="B17" t="s">
        <v>393</v>
      </c>
      <c r="C17" t="s">
        <v>178</v>
      </c>
      <c r="D17" t="s">
        <v>25</v>
      </c>
      <c r="E17">
        <v>1</v>
      </c>
      <c r="F17">
        <v>55</v>
      </c>
      <c r="G17">
        <v>55</v>
      </c>
      <c r="H17" s="2">
        <v>45207</v>
      </c>
      <c r="I17" t="s">
        <v>392</v>
      </c>
      <c r="J17" t="s">
        <v>55</v>
      </c>
      <c r="K17" t="s">
        <v>90</v>
      </c>
      <c r="L17" t="s">
        <v>460</v>
      </c>
      <c r="M17" t="s">
        <v>60</v>
      </c>
      <c r="N17" t="s">
        <v>60</v>
      </c>
      <c r="O17" t="s">
        <v>60</v>
      </c>
      <c r="P17" t="s">
        <v>60</v>
      </c>
      <c r="Q17" t="s">
        <v>60</v>
      </c>
      <c r="R17" t="s">
        <v>60</v>
      </c>
      <c r="S17" t="s">
        <v>60</v>
      </c>
      <c r="T17" t="s">
        <v>60</v>
      </c>
      <c r="U17" t="s">
        <v>461</v>
      </c>
      <c r="V17" t="s">
        <v>462</v>
      </c>
      <c r="W17" t="s">
        <v>60</v>
      </c>
      <c r="X17" t="s">
        <v>60</v>
      </c>
      <c r="Y17" t="s">
        <v>56</v>
      </c>
      <c r="Z17" t="s">
        <v>57</v>
      </c>
      <c r="AA17" t="s">
        <v>60</v>
      </c>
      <c r="AB17" t="s">
        <v>60</v>
      </c>
      <c r="AC17" t="s">
        <v>60</v>
      </c>
      <c r="AD17" t="s">
        <v>60</v>
      </c>
      <c r="AE17" t="s">
        <v>60</v>
      </c>
      <c r="AF17" t="s">
        <v>60</v>
      </c>
      <c r="AG17" t="s">
        <v>60</v>
      </c>
      <c r="AH17" t="s">
        <v>60</v>
      </c>
      <c r="AI17" t="s">
        <v>60</v>
      </c>
      <c r="AJ17" t="s">
        <v>60</v>
      </c>
      <c r="AK17">
        <v>1</v>
      </c>
      <c r="AL17">
        <v>55</v>
      </c>
      <c r="AM17">
        <v>0</v>
      </c>
      <c r="AN17">
        <v>0</v>
      </c>
      <c r="AO17" t="s">
        <v>60</v>
      </c>
      <c r="AP17" t="s">
        <v>60</v>
      </c>
      <c r="AQ17" t="s">
        <v>60</v>
      </c>
      <c r="AR17" t="s">
        <v>60</v>
      </c>
      <c r="AS17" t="s">
        <v>60</v>
      </c>
      <c r="AT17" t="s">
        <v>574</v>
      </c>
      <c r="AU17" t="s">
        <v>574</v>
      </c>
      <c r="AV17" t="s">
        <v>575</v>
      </c>
      <c r="AW17" t="s">
        <v>576</v>
      </c>
      <c r="AX17" t="s">
        <v>577</v>
      </c>
      <c r="AY17" t="s">
        <v>121</v>
      </c>
      <c r="AZ17" t="s">
        <v>578</v>
      </c>
      <c r="BA17" t="s">
        <v>60</v>
      </c>
      <c r="BB17" t="s">
        <v>60</v>
      </c>
      <c r="BC17" t="s">
        <v>60</v>
      </c>
      <c r="BD17" t="s">
        <v>60</v>
      </c>
      <c r="BE17" t="s">
        <v>60</v>
      </c>
      <c r="BF17" t="s">
        <v>60</v>
      </c>
      <c r="BG17" t="s">
        <v>60</v>
      </c>
      <c r="BH17" t="s">
        <v>60</v>
      </c>
      <c r="BI17" t="s">
        <v>58</v>
      </c>
      <c r="BJ17" t="s">
        <v>59</v>
      </c>
      <c r="BK17" t="s">
        <v>90</v>
      </c>
      <c r="BL17" t="s">
        <v>579</v>
      </c>
    </row>
    <row r="18" spans="1:64" x14ac:dyDescent="0.25">
      <c r="A18">
        <v>677</v>
      </c>
      <c r="B18" t="s">
        <v>136</v>
      </c>
      <c r="C18" t="s">
        <v>82</v>
      </c>
      <c r="D18" t="s">
        <v>25</v>
      </c>
      <c r="E18">
        <v>5</v>
      </c>
      <c r="F18">
        <v>52.9</v>
      </c>
      <c r="G18">
        <v>264.5</v>
      </c>
      <c r="H18" s="2">
        <v>45207</v>
      </c>
      <c r="I18" t="s">
        <v>132</v>
      </c>
      <c r="J18" t="s">
        <v>55</v>
      </c>
      <c r="K18" t="s">
        <v>90</v>
      </c>
      <c r="L18" t="s">
        <v>441</v>
      </c>
      <c r="M18" t="s">
        <v>60</v>
      </c>
      <c r="N18" t="s">
        <v>60</v>
      </c>
      <c r="O18" t="s">
        <v>60</v>
      </c>
      <c r="P18" t="s">
        <v>60</v>
      </c>
      <c r="Q18" t="s">
        <v>60</v>
      </c>
      <c r="R18" t="s">
        <v>60</v>
      </c>
      <c r="S18" t="s">
        <v>90</v>
      </c>
      <c r="T18" t="s">
        <v>441</v>
      </c>
      <c r="U18" t="s">
        <v>424</v>
      </c>
      <c r="V18" t="s">
        <v>425</v>
      </c>
      <c r="W18" t="s">
        <v>60</v>
      </c>
      <c r="X18" t="s">
        <v>60</v>
      </c>
      <c r="Y18" t="s">
        <v>56</v>
      </c>
      <c r="Z18" t="s">
        <v>57</v>
      </c>
      <c r="AA18" t="s">
        <v>90</v>
      </c>
      <c r="AB18" t="s">
        <v>442</v>
      </c>
      <c r="AC18" t="s">
        <v>135</v>
      </c>
      <c r="AD18" t="s">
        <v>294</v>
      </c>
      <c r="AE18" t="s">
        <v>60</v>
      </c>
      <c r="AF18" t="s">
        <v>60</v>
      </c>
      <c r="AG18" t="s">
        <v>60</v>
      </c>
      <c r="AH18" t="s">
        <v>60</v>
      </c>
      <c r="AI18" t="s">
        <v>60</v>
      </c>
      <c r="AJ18" t="s">
        <v>60</v>
      </c>
      <c r="AK18">
        <v>0</v>
      </c>
      <c r="AL18">
        <v>0</v>
      </c>
      <c r="AM18">
        <v>5</v>
      </c>
      <c r="AN18">
        <v>264.5</v>
      </c>
      <c r="AO18" t="s">
        <v>133</v>
      </c>
      <c r="AP18" t="s">
        <v>305</v>
      </c>
      <c r="AQ18" t="s">
        <v>60</v>
      </c>
      <c r="AR18" t="s">
        <v>60</v>
      </c>
      <c r="AS18" t="s">
        <v>60</v>
      </c>
      <c r="AT18" t="s">
        <v>501</v>
      </c>
      <c r="AU18" t="s">
        <v>501</v>
      </c>
      <c r="AV18" t="s">
        <v>502</v>
      </c>
      <c r="AW18" t="s">
        <v>503</v>
      </c>
      <c r="AX18" t="s">
        <v>504</v>
      </c>
      <c r="AY18" t="s">
        <v>60</v>
      </c>
      <c r="AZ18" t="s">
        <v>60</v>
      </c>
      <c r="BA18" t="s">
        <v>304</v>
      </c>
      <c r="BB18" t="s">
        <v>239</v>
      </c>
      <c r="BC18" t="s">
        <v>559</v>
      </c>
      <c r="BD18" t="s">
        <v>60</v>
      </c>
      <c r="BE18" t="s">
        <v>60</v>
      </c>
      <c r="BF18" t="s">
        <v>60</v>
      </c>
      <c r="BG18" t="s">
        <v>60</v>
      </c>
      <c r="BH18" t="s">
        <v>60</v>
      </c>
      <c r="BI18" t="s">
        <v>58</v>
      </c>
      <c r="BJ18" t="s">
        <v>59</v>
      </c>
      <c r="BK18" t="s">
        <v>191</v>
      </c>
      <c r="BL18" t="s">
        <v>194</v>
      </c>
    </row>
    <row r="19" spans="1:64" x14ac:dyDescent="0.25">
      <c r="A19">
        <v>255</v>
      </c>
      <c r="B19" t="s">
        <v>64</v>
      </c>
      <c r="C19" t="s">
        <v>189</v>
      </c>
      <c r="D19" t="s">
        <v>25</v>
      </c>
      <c r="E19">
        <v>7</v>
      </c>
      <c r="F19">
        <v>52.9</v>
      </c>
      <c r="G19">
        <v>370.3</v>
      </c>
      <c r="H19" s="2">
        <v>45207</v>
      </c>
      <c r="I19" t="s">
        <v>132</v>
      </c>
      <c r="J19" t="s">
        <v>55</v>
      </c>
      <c r="K19" t="s">
        <v>60</v>
      </c>
      <c r="L19" t="s">
        <v>60</v>
      </c>
      <c r="M19" t="s">
        <v>60</v>
      </c>
      <c r="N19" t="s">
        <v>60</v>
      </c>
      <c r="O19" t="s">
        <v>60</v>
      </c>
      <c r="P19" t="s">
        <v>60</v>
      </c>
      <c r="Q19" t="s">
        <v>60</v>
      </c>
      <c r="R19" t="s">
        <v>60</v>
      </c>
      <c r="S19" t="s">
        <v>90</v>
      </c>
      <c r="T19" t="s">
        <v>441</v>
      </c>
      <c r="U19" t="s">
        <v>424</v>
      </c>
      <c r="V19" t="s">
        <v>425</v>
      </c>
      <c r="W19" t="s">
        <v>60</v>
      </c>
      <c r="X19" t="s">
        <v>60</v>
      </c>
      <c r="Y19" t="s">
        <v>56</v>
      </c>
      <c r="Z19" t="s">
        <v>57</v>
      </c>
      <c r="AA19" t="s">
        <v>135</v>
      </c>
      <c r="AB19" t="s">
        <v>294</v>
      </c>
      <c r="AC19" t="s">
        <v>234</v>
      </c>
      <c r="AD19" t="s">
        <v>426</v>
      </c>
      <c r="AE19" t="s">
        <v>60</v>
      </c>
      <c r="AF19" t="s">
        <v>60</v>
      </c>
      <c r="AG19" t="s">
        <v>60</v>
      </c>
      <c r="AH19" t="s">
        <v>60</v>
      </c>
      <c r="AI19" t="s">
        <v>60</v>
      </c>
      <c r="AJ19" t="s">
        <v>60</v>
      </c>
      <c r="AK19">
        <v>0</v>
      </c>
      <c r="AL19">
        <v>0</v>
      </c>
      <c r="AM19">
        <v>7</v>
      </c>
      <c r="AN19">
        <v>370.3</v>
      </c>
      <c r="AO19" t="s">
        <v>167</v>
      </c>
      <c r="AP19" t="s">
        <v>303</v>
      </c>
      <c r="AQ19" t="s">
        <v>121</v>
      </c>
      <c r="AR19" t="s">
        <v>60</v>
      </c>
      <c r="AS19" t="s">
        <v>60</v>
      </c>
      <c r="AT19" t="s">
        <v>535</v>
      </c>
      <c r="AU19" t="s">
        <v>536</v>
      </c>
      <c r="AV19" t="s">
        <v>537</v>
      </c>
      <c r="AW19" t="s">
        <v>538</v>
      </c>
      <c r="AX19" t="s">
        <v>539</v>
      </c>
      <c r="AY19" t="s">
        <v>60</v>
      </c>
      <c r="AZ19" t="s">
        <v>60</v>
      </c>
      <c r="BA19" t="s">
        <v>304</v>
      </c>
      <c r="BB19" t="s">
        <v>239</v>
      </c>
      <c r="BC19" t="s">
        <v>559</v>
      </c>
      <c r="BD19" t="s">
        <v>60</v>
      </c>
      <c r="BE19" t="s">
        <v>60</v>
      </c>
      <c r="BF19" t="s">
        <v>60</v>
      </c>
      <c r="BG19" t="s">
        <v>60</v>
      </c>
      <c r="BH19" t="s">
        <v>60</v>
      </c>
      <c r="BI19" t="s">
        <v>58</v>
      </c>
      <c r="BJ19" t="s">
        <v>59</v>
      </c>
      <c r="BK19" t="s">
        <v>205</v>
      </c>
      <c r="BL19" t="s">
        <v>351</v>
      </c>
    </row>
    <row r="20" spans="1:64" x14ac:dyDescent="0.25">
      <c r="A20">
        <v>790</v>
      </c>
      <c r="B20" t="s">
        <v>176</v>
      </c>
      <c r="C20" t="s">
        <v>111</v>
      </c>
      <c r="D20" t="s">
        <v>25</v>
      </c>
      <c r="E20">
        <v>4</v>
      </c>
      <c r="F20">
        <v>52.9</v>
      </c>
      <c r="G20">
        <v>211.6</v>
      </c>
      <c r="H20" s="2">
        <v>45207</v>
      </c>
      <c r="I20" t="s">
        <v>132</v>
      </c>
      <c r="J20" t="s">
        <v>55</v>
      </c>
      <c r="K20" t="s">
        <v>135</v>
      </c>
      <c r="L20" t="s">
        <v>296</v>
      </c>
      <c r="M20" t="s">
        <v>60</v>
      </c>
      <c r="N20" t="s">
        <v>60</v>
      </c>
      <c r="O20" t="s">
        <v>60</v>
      </c>
      <c r="P20" t="s">
        <v>60</v>
      </c>
      <c r="Q20" t="s">
        <v>60</v>
      </c>
      <c r="R20" t="s">
        <v>60</v>
      </c>
      <c r="S20" t="s">
        <v>60</v>
      </c>
      <c r="T20" t="s">
        <v>60</v>
      </c>
      <c r="U20" t="s">
        <v>233</v>
      </c>
      <c r="V20" t="s">
        <v>295</v>
      </c>
      <c r="W20" t="s">
        <v>60</v>
      </c>
      <c r="X20" t="s">
        <v>60</v>
      </c>
      <c r="Y20" t="s">
        <v>56</v>
      </c>
      <c r="Z20" t="s">
        <v>57</v>
      </c>
      <c r="AA20" t="s">
        <v>169</v>
      </c>
      <c r="AB20" t="s">
        <v>297</v>
      </c>
      <c r="AC20" t="s">
        <v>60</v>
      </c>
      <c r="AD20" t="s">
        <v>60</v>
      </c>
      <c r="AE20" t="s">
        <v>60</v>
      </c>
      <c r="AF20" t="s">
        <v>60</v>
      </c>
      <c r="AG20" t="s">
        <v>60</v>
      </c>
      <c r="AH20" t="s">
        <v>60</v>
      </c>
      <c r="AI20" t="s">
        <v>60</v>
      </c>
      <c r="AJ20" t="s">
        <v>60</v>
      </c>
      <c r="AK20">
        <v>0</v>
      </c>
      <c r="AL20">
        <v>0</v>
      </c>
      <c r="AM20">
        <v>4</v>
      </c>
      <c r="AN20">
        <v>211.6</v>
      </c>
      <c r="AO20" t="s">
        <v>133</v>
      </c>
      <c r="AP20" t="s">
        <v>305</v>
      </c>
      <c r="AQ20" t="s">
        <v>60</v>
      </c>
      <c r="AR20" t="s">
        <v>60</v>
      </c>
      <c r="AS20" t="s">
        <v>60</v>
      </c>
      <c r="AT20" t="s">
        <v>318</v>
      </c>
      <c r="AU20" t="s">
        <v>318</v>
      </c>
      <c r="AV20" t="s">
        <v>544</v>
      </c>
      <c r="AW20" t="s">
        <v>545</v>
      </c>
      <c r="AX20" t="s">
        <v>396</v>
      </c>
      <c r="AY20" t="s">
        <v>60</v>
      </c>
      <c r="AZ20" t="s">
        <v>60</v>
      </c>
      <c r="BA20" t="s">
        <v>304</v>
      </c>
      <c r="BB20" t="s">
        <v>239</v>
      </c>
      <c r="BC20" t="s">
        <v>559</v>
      </c>
      <c r="BD20" t="s">
        <v>60</v>
      </c>
      <c r="BE20" t="s">
        <v>60</v>
      </c>
      <c r="BF20" t="s">
        <v>60</v>
      </c>
      <c r="BG20" t="s">
        <v>60</v>
      </c>
      <c r="BH20" t="s">
        <v>60</v>
      </c>
      <c r="BI20" t="s">
        <v>58</v>
      </c>
      <c r="BJ20" t="s">
        <v>59</v>
      </c>
      <c r="BK20" t="s">
        <v>191</v>
      </c>
      <c r="BL20" t="s">
        <v>194</v>
      </c>
    </row>
    <row r="21" spans="1:64" x14ac:dyDescent="0.25">
      <c r="A21">
        <v>161</v>
      </c>
      <c r="B21" t="s">
        <v>134</v>
      </c>
      <c r="C21" t="s">
        <v>8</v>
      </c>
      <c r="D21" t="s">
        <v>25</v>
      </c>
      <c r="E21">
        <v>1</v>
      </c>
      <c r="F21">
        <v>52.9</v>
      </c>
      <c r="G21">
        <v>52.9</v>
      </c>
      <c r="H21" s="2">
        <v>45207</v>
      </c>
      <c r="I21" t="s">
        <v>132</v>
      </c>
      <c r="J21" t="s">
        <v>55</v>
      </c>
      <c r="K21" t="s">
        <v>60</v>
      </c>
      <c r="L21" t="s">
        <v>60</v>
      </c>
      <c r="M21" t="s">
        <v>60</v>
      </c>
      <c r="N21" t="s">
        <v>60</v>
      </c>
      <c r="O21" t="s">
        <v>60</v>
      </c>
      <c r="P21" t="s">
        <v>60</v>
      </c>
      <c r="Q21" t="s">
        <v>60</v>
      </c>
      <c r="R21" t="s">
        <v>60</v>
      </c>
      <c r="S21" t="s">
        <v>90</v>
      </c>
      <c r="T21" t="s">
        <v>441</v>
      </c>
      <c r="U21" t="s">
        <v>60</v>
      </c>
      <c r="V21" t="s">
        <v>60</v>
      </c>
      <c r="W21" t="s">
        <v>60</v>
      </c>
      <c r="X21" t="s">
        <v>60</v>
      </c>
      <c r="Y21" t="s">
        <v>56</v>
      </c>
      <c r="Z21" t="s">
        <v>57</v>
      </c>
      <c r="AA21" t="s">
        <v>60</v>
      </c>
      <c r="AB21" t="s">
        <v>60</v>
      </c>
      <c r="AC21" t="s">
        <v>60</v>
      </c>
      <c r="AD21" t="s">
        <v>60</v>
      </c>
      <c r="AE21" t="s">
        <v>60</v>
      </c>
      <c r="AF21" t="s">
        <v>60</v>
      </c>
      <c r="AG21" t="s">
        <v>60</v>
      </c>
      <c r="AH21" t="s">
        <v>60</v>
      </c>
      <c r="AI21" t="s">
        <v>60</v>
      </c>
      <c r="AJ21" t="s">
        <v>60</v>
      </c>
      <c r="AK21">
        <v>0</v>
      </c>
      <c r="AL21">
        <v>0</v>
      </c>
      <c r="AM21">
        <v>1</v>
      </c>
      <c r="AN21">
        <v>52.9</v>
      </c>
      <c r="AO21" t="s">
        <v>60</v>
      </c>
      <c r="AP21" t="s">
        <v>60</v>
      </c>
      <c r="AQ21" t="s">
        <v>60</v>
      </c>
      <c r="AR21" t="s">
        <v>60</v>
      </c>
      <c r="AS21" t="s">
        <v>60</v>
      </c>
      <c r="AT21" t="s">
        <v>569</v>
      </c>
      <c r="AU21" t="s">
        <v>569</v>
      </c>
      <c r="AV21" t="s">
        <v>570</v>
      </c>
      <c r="AW21" t="s">
        <v>571</v>
      </c>
      <c r="AX21" t="s">
        <v>572</v>
      </c>
      <c r="AY21" t="s">
        <v>60</v>
      </c>
      <c r="AZ21" t="s">
        <v>60</v>
      </c>
      <c r="BA21" t="s">
        <v>304</v>
      </c>
      <c r="BB21" t="s">
        <v>239</v>
      </c>
      <c r="BC21" t="s">
        <v>559</v>
      </c>
      <c r="BD21" t="s">
        <v>60</v>
      </c>
      <c r="BE21" t="s">
        <v>60</v>
      </c>
      <c r="BF21" t="s">
        <v>60</v>
      </c>
      <c r="BG21" t="s">
        <v>60</v>
      </c>
      <c r="BH21" t="s">
        <v>60</v>
      </c>
      <c r="BI21" t="s">
        <v>58</v>
      </c>
      <c r="BJ21" t="s">
        <v>59</v>
      </c>
      <c r="BK21" t="s">
        <v>60</v>
      </c>
      <c r="BL21" t="s">
        <v>60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21300-7BD6-499E-9A7B-221B031D74BD}">
  <sheetPr codeName="Sheet17">
    <tabColor theme="9"/>
  </sheetPr>
  <dimension ref="A1:BH21"/>
  <sheetViews>
    <sheetView workbookViewId="0">
      <selection sqref="A1:BH21"/>
    </sheetView>
  </sheetViews>
  <sheetFormatPr defaultRowHeight="15" x14ac:dyDescent="0.25"/>
  <cols>
    <col min="1" max="1" width="20.140625" bestFit="1" customWidth="1"/>
    <col min="2" max="3" width="11.85546875" bestFit="1" customWidth="1"/>
    <col min="4" max="4" width="14.28515625" bestFit="1" customWidth="1"/>
    <col min="5" max="5" width="20.7109375" bestFit="1" customWidth="1"/>
    <col min="6" max="6" width="13.5703125" bestFit="1" customWidth="1"/>
    <col min="7" max="8" width="13.140625" bestFit="1" customWidth="1"/>
    <col min="9" max="9" width="18.28515625" bestFit="1" customWidth="1"/>
    <col min="10" max="10" width="10.85546875" bestFit="1" customWidth="1"/>
    <col min="11" max="11" width="21.42578125" bestFit="1" customWidth="1"/>
    <col min="12" max="12" width="19.140625" bestFit="1" customWidth="1"/>
    <col min="13" max="13" width="20" bestFit="1" customWidth="1"/>
    <col min="14" max="14" width="17.7109375" bestFit="1" customWidth="1"/>
    <col min="15" max="15" width="20.42578125" bestFit="1" customWidth="1"/>
    <col min="16" max="16" width="18.140625" bestFit="1" customWidth="1"/>
    <col min="17" max="17" width="28" bestFit="1" customWidth="1"/>
    <col min="18" max="18" width="25.7109375" bestFit="1" customWidth="1"/>
    <col min="19" max="19" width="18" bestFit="1" customWidth="1"/>
    <col min="20" max="20" width="15.85546875" bestFit="1" customWidth="1"/>
    <col min="21" max="21" width="17" bestFit="1" customWidth="1"/>
    <col min="22" max="22" width="14.7109375" bestFit="1" customWidth="1"/>
    <col min="23" max="23" width="23" bestFit="1" customWidth="1"/>
    <col min="24" max="24" width="20.85546875" bestFit="1" customWidth="1"/>
    <col min="25" max="25" width="16" bestFit="1" customWidth="1"/>
    <col min="26" max="26" width="26.42578125" bestFit="1" customWidth="1"/>
    <col min="27" max="27" width="20" bestFit="1" customWidth="1"/>
    <col min="28" max="28" width="17.7109375" bestFit="1" customWidth="1"/>
    <col min="29" max="29" width="20.42578125" bestFit="1" customWidth="1"/>
    <col min="30" max="30" width="18.140625" bestFit="1" customWidth="1"/>
    <col min="31" max="31" width="20.7109375" bestFit="1" customWidth="1"/>
    <col min="32" max="32" width="18.42578125" bestFit="1" customWidth="1"/>
    <col min="33" max="33" width="42.28515625" bestFit="1" customWidth="1"/>
    <col min="34" max="34" width="40" bestFit="1" customWidth="1"/>
    <col min="35" max="35" width="32.85546875" bestFit="1" customWidth="1"/>
    <col min="36" max="36" width="29.140625" bestFit="1" customWidth="1"/>
    <col min="37" max="37" width="32" bestFit="1" customWidth="1"/>
    <col min="38" max="38" width="27.28515625" bestFit="1" customWidth="1"/>
    <col min="39" max="39" width="32.7109375" bestFit="1" customWidth="1"/>
    <col min="40" max="40" width="28.140625" bestFit="1" customWidth="1"/>
    <col min="41" max="41" width="40" bestFit="1" customWidth="1"/>
    <col min="42" max="42" width="36.42578125" bestFit="1" customWidth="1"/>
    <col min="43" max="43" width="33.140625" bestFit="1" customWidth="1"/>
    <col min="44" max="44" width="15.42578125" bestFit="1" customWidth="1"/>
    <col min="45" max="45" width="13.140625" bestFit="1" customWidth="1"/>
    <col min="46" max="46" width="8.5703125" bestFit="1" customWidth="1"/>
    <col min="47" max="47" width="17.28515625" bestFit="1" customWidth="1"/>
    <col min="48" max="48" width="11.140625" bestFit="1" customWidth="1"/>
    <col min="49" max="49" width="7.5703125" bestFit="1" customWidth="1"/>
    <col min="50" max="50" width="17.5703125" bestFit="1" customWidth="1"/>
    <col min="51" max="51" width="21" bestFit="1" customWidth="1"/>
    <col min="52" max="52" width="34.42578125" bestFit="1" customWidth="1"/>
    <col min="53" max="53" width="27.42578125" bestFit="1" customWidth="1"/>
    <col min="54" max="54" width="27.140625" customWidth="1"/>
    <col min="55" max="55" width="24.140625" bestFit="1" customWidth="1"/>
    <col min="56" max="59" width="5.28515625" bestFit="1" customWidth="1"/>
    <col min="60" max="62" width="24.28515625" bestFit="1" customWidth="1"/>
    <col min="63" max="68" width="5.28515625" bestFit="1" customWidth="1"/>
    <col min="69" max="69" width="24.28515625" bestFit="1" customWidth="1"/>
    <col min="70" max="70" width="21" bestFit="1" customWidth="1"/>
    <col min="71" max="71" width="34.42578125" bestFit="1" customWidth="1"/>
    <col min="72" max="72" width="18.7109375" bestFit="1" customWidth="1"/>
    <col min="73" max="73" width="27.42578125" bestFit="1" customWidth="1"/>
    <col min="74" max="74" width="27.140625" bestFit="1" customWidth="1"/>
    <col min="75" max="76" width="5.28515625" customWidth="1"/>
    <col min="77" max="77" width="24.28515625" bestFit="1" customWidth="1"/>
    <col min="78" max="83" width="5.28515625" bestFit="1" customWidth="1"/>
    <col min="84" max="86" width="6.28515625" bestFit="1" customWidth="1"/>
    <col min="87" max="87" width="24.28515625" bestFit="1" customWidth="1"/>
    <col min="88" max="88" width="27.140625" bestFit="1" customWidth="1"/>
    <col min="89" max="92" width="5.28515625" bestFit="1" customWidth="1"/>
    <col min="93" max="93" width="5.28515625" customWidth="1"/>
    <col min="94" max="94" width="24.28515625" bestFit="1" customWidth="1"/>
    <col min="95" max="95" width="5.28515625" bestFit="1" customWidth="1"/>
    <col min="96" max="96" width="24.28515625" bestFit="1" customWidth="1"/>
    <col min="97" max="97" width="34.42578125" bestFit="1" customWidth="1"/>
    <col min="98" max="98" width="18.7109375" bestFit="1" customWidth="1"/>
    <col min="99" max="99" width="27.42578125" bestFit="1" customWidth="1"/>
    <col min="100" max="100" width="27.140625" bestFit="1" customWidth="1"/>
    <col min="101" max="101" width="5.28515625" bestFit="1" customWidth="1"/>
    <col min="102" max="102" width="24.28515625" bestFit="1" customWidth="1"/>
    <col min="103" max="103" width="17.5703125" bestFit="1" customWidth="1"/>
    <col min="104" max="104" width="21.85546875" bestFit="1" customWidth="1"/>
    <col min="105" max="105" width="21" bestFit="1" customWidth="1"/>
    <col min="106" max="106" width="34.42578125" bestFit="1" customWidth="1"/>
    <col min="107" max="107" width="18.7109375" bestFit="1" customWidth="1"/>
    <col min="108" max="111" width="5.28515625" bestFit="1" customWidth="1"/>
    <col min="112" max="113" width="24.28515625" bestFit="1" customWidth="1"/>
    <col min="114" max="114" width="21" bestFit="1" customWidth="1"/>
    <col min="115" max="115" width="34.42578125" bestFit="1" customWidth="1"/>
    <col min="116" max="116" width="18.7109375" bestFit="1" customWidth="1"/>
    <col min="117" max="118" width="5.28515625" customWidth="1"/>
    <col min="119" max="119" width="24.28515625" bestFit="1" customWidth="1"/>
    <col min="120" max="121" width="5.28515625" bestFit="1" customWidth="1"/>
    <col min="122" max="125" width="5.28515625" customWidth="1"/>
    <col min="126" max="126" width="24.28515625" bestFit="1" customWidth="1"/>
    <col min="127" max="127" width="5.28515625" customWidth="1"/>
    <col min="128" max="128" width="24.28515625" bestFit="1" customWidth="1"/>
    <col min="129" max="130" width="5.28515625" customWidth="1"/>
    <col min="131" max="131" width="24.28515625" bestFit="1" customWidth="1"/>
    <col min="132" max="135" width="5.28515625" bestFit="1" customWidth="1"/>
    <col min="136" max="136" width="24.28515625" bestFit="1" customWidth="1"/>
    <col min="137" max="137" width="18.7109375" bestFit="1" customWidth="1"/>
    <col min="138" max="138" width="5.28515625" bestFit="1" customWidth="1"/>
    <col min="139" max="142" width="5.28515625" customWidth="1"/>
    <col min="143" max="143" width="24.28515625" bestFit="1" customWidth="1"/>
    <col min="144" max="146" width="5.28515625" bestFit="1" customWidth="1"/>
    <col min="147" max="147" width="5.28515625" customWidth="1"/>
    <col min="148" max="148" width="24.28515625" bestFit="1" customWidth="1"/>
    <col min="149" max="149" width="5.28515625" bestFit="1" customWidth="1"/>
    <col min="150" max="150" width="24.28515625" bestFit="1" customWidth="1"/>
    <col min="151" max="151" width="21" bestFit="1" customWidth="1"/>
    <col min="152" max="152" width="34.42578125" bestFit="1" customWidth="1"/>
    <col min="153" max="153" width="18.7109375" bestFit="1" customWidth="1"/>
    <col min="154" max="155" width="5.28515625" customWidth="1"/>
    <col min="156" max="156" width="24.28515625" bestFit="1" customWidth="1"/>
    <col min="157" max="158" width="5.28515625" customWidth="1"/>
    <col min="159" max="159" width="24.28515625" bestFit="1" customWidth="1"/>
    <col min="160" max="161" width="5.28515625" bestFit="1" customWidth="1"/>
    <col min="162" max="162" width="5.28515625" customWidth="1"/>
    <col min="163" max="163" width="24.28515625" bestFit="1" customWidth="1"/>
    <col min="164" max="164" width="5.28515625" bestFit="1" customWidth="1"/>
    <col min="165" max="165" width="24.28515625" bestFit="1" customWidth="1"/>
    <col min="166" max="166" width="21" bestFit="1" customWidth="1"/>
    <col min="167" max="167" width="34.42578125" bestFit="1" customWidth="1"/>
    <col min="168" max="168" width="18.7109375" bestFit="1" customWidth="1"/>
    <col min="169" max="170" width="5.28515625" customWidth="1"/>
    <col min="171" max="171" width="24.28515625" bestFit="1" customWidth="1"/>
    <col min="172" max="177" width="5.28515625" bestFit="1" customWidth="1"/>
    <col min="178" max="178" width="6.28515625" bestFit="1" customWidth="1"/>
    <col min="179" max="179" width="24.28515625" bestFit="1" customWidth="1"/>
    <col min="180" max="184" width="5.140625" customWidth="1"/>
    <col min="185" max="185" width="23.28515625" bestFit="1" customWidth="1"/>
    <col min="186" max="188" width="5.140625" bestFit="1" customWidth="1"/>
    <col min="189" max="190" width="6.140625" bestFit="1" customWidth="1"/>
    <col min="191" max="191" width="23.28515625" bestFit="1" customWidth="1"/>
    <col min="192" max="192" width="7.42578125" bestFit="1" customWidth="1"/>
    <col min="193" max="193" width="16.85546875" bestFit="1" customWidth="1"/>
    <col min="194" max="194" width="21" bestFit="1" customWidth="1"/>
    <col min="195" max="195" width="20.140625" bestFit="1" customWidth="1"/>
    <col min="196" max="196" width="33" bestFit="1" customWidth="1"/>
    <col min="197" max="197" width="18" bestFit="1" customWidth="1"/>
    <col min="198" max="200" width="5.140625" bestFit="1" customWidth="1"/>
    <col min="201" max="201" width="23.28515625" bestFit="1" customWidth="1"/>
    <col min="202" max="204" width="5.28515625" bestFit="1" customWidth="1"/>
    <col min="205" max="205" width="24.28515625" bestFit="1" customWidth="1"/>
    <col min="206" max="206" width="17.5703125" bestFit="1" customWidth="1"/>
    <col min="207" max="207" width="21.85546875" bestFit="1" customWidth="1"/>
    <col min="208" max="208" width="21" customWidth="1"/>
    <col min="209" max="209" width="34.42578125" bestFit="1" customWidth="1"/>
    <col min="210" max="210" width="18.7109375" bestFit="1" customWidth="1"/>
    <col min="211" max="211" width="24.28515625" bestFit="1" customWidth="1"/>
    <col min="212" max="212" width="34.42578125" bestFit="1" customWidth="1"/>
    <col min="213" max="213" width="18.7109375" bestFit="1" customWidth="1"/>
    <col min="214" max="214" width="24.28515625" bestFit="1" customWidth="1"/>
    <col min="215" max="215" width="21" bestFit="1" customWidth="1"/>
    <col min="216" max="216" width="34.42578125" bestFit="1" customWidth="1"/>
    <col min="217" max="217" width="18.7109375" bestFit="1" customWidth="1"/>
    <col min="218" max="221" width="5.28515625" bestFit="1" customWidth="1"/>
    <col min="222" max="222" width="24.28515625" bestFit="1" customWidth="1"/>
    <col min="223" max="223" width="17.5703125" bestFit="1" customWidth="1"/>
    <col min="224" max="224" width="21.85546875" bestFit="1" customWidth="1"/>
    <col min="225" max="225" width="21" bestFit="1" customWidth="1"/>
    <col min="226" max="226" width="34.42578125" customWidth="1"/>
    <col min="227" max="227" width="18.7109375" bestFit="1" customWidth="1"/>
    <col min="228" max="228" width="24.28515625" bestFit="1" customWidth="1"/>
    <col min="229" max="229" width="18.7109375" bestFit="1" customWidth="1"/>
    <col min="230" max="232" width="5.28515625" bestFit="1" customWidth="1"/>
    <col min="233" max="234" width="5.28515625" customWidth="1"/>
    <col min="235" max="235" width="6.28515625" bestFit="1" customWidth="1"/>
    <col min="236" max="236" width="24.28515625" bestFit="1" customWidth="1"/>
    <col min="237" max="238" width="5.28515625" bestFit="1" customWidth="1"/>
    <col min="239" max="239" width="6.28515625" bestFit="1" customWidth="1"/>
    <col min="240" max="240" width="24.28515625" bestFit="1" customWidth="1"/>
    <col min="241" max="241" width="18.7109375" bestFit="1" customWidth="1"/>
    <col min="242" max="243" width="5.28515625" customWidth="1"/>
    <col min="244" max="244" width="24.28515625" bestFit="1" customWidth="1"/>
    <col min="245" max="245" width="5.28515625" customWidth="1"/>
    <col min="246" max="246" width="24.28515625" bestFit="1" customWidth="1"/>
    <col min="247" max="248" width="5.28515625" bestFit="1" customWidth="1"/>
    <col min="249" max="252" width="6.28515625" bestFit="1" customWidth="1"/>
    <col min="253" max="253" width="6.28515625" customWidth="1"/>
    <col min="254" max="254" width="24.28515625" bestFit="1" customWidth="1"/>
    <col min="255" max="255" width="6.28515625" customWidth="1"/>
    <col min="256" max="256" width="24.28515625" bestFit="1" customWidth="1"/>
    <col min="257" max="257" width="6.28515625" bestFit="1" customWidth="1"/>
    <col min="258" max="258" width="24.28515625" bestFit="1" customWidth="1"/>
    <col min="259" max="259" width="17.5703125" bestFit="1" customWidth="1"/>
    <col min="260" max="260" width="21.85546875" bestFit="1" customWidth="1"/>
    <col min="261" max="261" width="21" bestFit="1" customWidth="1"/>
    <col min="262" max="262" width="34.42578125" bestFit="1" customWidth="1"/>
    <col min="263" max="263" width="18.7109375" bestFit="1" customWidth="1"/>
    <col min="264" max="265" width="5.28515625" customWidth="1"/>
    <col min="266" max="266" width="24.28515625" bestFit="1" customWidth="1"/>
    <col min="267" max="268" width="5.28515625" bestFit="1" customWidth="1"/>
    <col min="269" max="273" width="6.28515625" bestFit="1" customWidth="1"/>
    <col min="274" max="274" width="24.28515625" bestFit="1" customWidth="1"/>
    <col min="275" max="275" width="8.28515625" bestFit="1" customWidth="1"/>
    <col min="276" max="276" width="17.28515625" bestFit="1" customWidth="1"/>
    <col min="277" max="277" width="11.140625" bestFit="1" customWidth="1"/>
    <col min="278" max="278" width="6.5703125" bestFit="1" customWidth="1"/>
    <col min="279" max="279" width="17.5703125" bestFit="1" customWidth="1"/>
    <col min="280" max="280" width="21.85546875" bestFit="1" customWidth="1"/>
    <col min="281" max="281" width="21" bestFit="1" customWidth="1"/>
    <col min="282" max="282" width="34.42578125" bestFit="1" customWidth="1"/>
    <col min="283" max="283" width="18.7109375" bestFit="1" customWidth="1"/>
    <col min="284" max="284" width="26.42578125" bestFit="1" customWidth="1"/>
    <col min="285" max="285" width="24.28515625" bestFit="1" customWidth="1"/>
  </cols>
  <sheetData>
    <row r="1" spans="1:60" x14ac:dyDescent="0.25">
      <c r="A1" t="s">
        <v>0</v>
      </c>
      <c r="B1" t="s">
        <v>36</v>
      </c>
      <c r="C1" t="s">
        <v>37</v>
      </c>
      <c r="D1" t="s">
        <v>11</v>
      </c>
      <c r="E1" t="s">
        <v>47</v>
      </c>
      <c r="F1" t="s">
        <v>12</v>
      </c>
      <c r="G1" t="s">
        <v>48</v>
      </c>
      <c r="H1" t="s">
        <v>49</v>
      </c>
      <c r="I1" t="s">
        <v>50</v>
      </c>
      <c r="J1" t="s">
        <v>38</v>
      </c>
      <c r="K1" t="s">
        <v>124</v>
      </c>
      <c r="L1" t="s">
        <v>125</v>
      </c>
      <c r="M1" t="s">
        <v>126</v>
      </c>
      <c r="N1" t="s">
        <v>127</v>
      </c>
      <c r="O1" t="s">
        <v>418</v>
      </c>
      <c r="P1" t="s">
        <v>419</v>
      </c>
      <c r="Q1" t="s">
        <v>420</v>
      </c>
      <c r="R1" t="s">
        <v>421</v>
      </c>
      <c r="S1" t="s">
        <v>366</v>
      </c>
      <c r="T1" t="s">
        <v>367</v>
      </c>
      <c r="U1" t="s">
        <v>128</v>
      </c>
      <c r="V1" t="s">
        <v>129</v>
      </c>
      <c r="W1" t="s">
        <v>163</v>
      </c>
      <c r="X1" t="s">
        <v>164</v>
      </c>
      <c r="Y1" t="s">
        <v>51</v>
      </c>
      <c r="Z1" t="s">
        <v>61</v>
      </c>
      <c r="AA1" t="s">
        <v>130</v>
      </c>
      <c r="AB1" t="s">
        <v>131</v>
      </c>
      <c r="AC1" t="s">
        <v>165</v>
      </c>
      <c r="AD1" t="s">
        <v>166</v>
      </c>
      <c r="AE1" t="s">
        <v>422</v>
      </c>
      <c r="AF1" t="s">
        <v>423</v>
      </c>
      <c r="AG1" t="s">
        <v>88</v>
      </c>
      <c r="AH1" t="s">
        <v>89</v>
      </c>
      <c r="AI1" t="s">
        <v>240</v>
      </c>
      <c r="AJ1" t="s">
        <v>241</v>
      </c>
      <c r="AK1" t="s">
        <v>242</v>
      </c>
      <c r="AL1" t="s">
        <v>243</v>
      </c>
      <c r="AM1" t="s">
        <v>262</v>
      </c>
      <c r="AN1" t="s">
        <v>263</v>
      </c>
      <c r="AO1" t="s">
        <v>299</v>
      </c>
      <c r="AP1" t="s">
        <v>300</v>
      </c>
      <c r="AQ1" t="s">
        <v>171</v>
      </c>
      <c r="AR1" t="s">
        <v>244</v>
      </c>
      <c r="AS1" t="s">
        <v>270</v>
      </c>
      <c r="AT1" t="s">
        <v>52</v>
      </c>
      <c r="AU1" t="s">
        <v>53</v>
      </c>
      <c r="AV1" t="s">
        <v>54</v>
      </c>
      <c r="AW1" t="s">
        <v>117</v>
      </c>
      <c r="AX1" t="s">
        <v>118</v>
      </c>
      <c r="AY1" t="s">
        <v>119</v>
      </c>
      <c r="AZ1" t="s">
        <v>120</v>
      </c>
      <c r="BA1" t="s">
        <v>301</v>
      </c>
      <c r="BB1" t="s">
        <v>302</v>
      </c>
      <c r="BC1" t="s">
        <v>558</v>
      </c>
      <c r="BD1" t="s">
        <v>232</v>
      </c>
      <c r="BE1" t="s">
        <v>319</v>
      </c>
      <c r="BF1" t="s">
        <v>400</v>
      </c>
      <c r="BG1" t="s">
        <v>401</v>
      </c>
      <c r="BH1" t="s">
        <v>62</v>
      </c>
    </row>
    <row r="2" spans="1:60" x14ac:dyDescent="0.25">
      <c r="A2">
        <v>774</v>
      </c>
      <c r="B2" t="s">
        <v>251</v>
      </c>
      <c r="C2" t="s">
        <v>146</v>
      </c>
      <c r="D2" t="s">
        <v>192</v>
      </c>
      <c r="E2" t="s">
        <v>55</v>
      </c>
      <c r="F2" t="s">
        <v>220</v>
      </c>
      <c r="G2" t="s">
        <v>56</v>
      </c>
      <c r="H2" t="s">
        <v>57</v>
      </c>
      <c r="I2" t="s">
        <v>58</v>
      </c>
      <c r="J2" s="2">
        <v>45207</v>
      </c>
      <c r="K2" t="s">
        <v>60</v>
      </c>
      <c r="L2" t="s">
        <v>60</v>
      </c>
      <c r="M2" t="s">
        <v>60</v>
      </c>
      <c r="N2" t="s">
        <v>60</v>
      </c>
      <c r="O2" t="s">
        <v>60</v>
      </c>
      <c r="P2" t="s">
        <v>60</v>
      </c>
      <c r="Q2" t="s">
        <v>60</v>
      </c>
      <c r="R2" t="s">
        <v>60</v>
      </c>
      <c r="S2" t="s">
        <v>60</v>
      </c>
      <c r="T2" t="s">
        <v>60</v>
      </c>
      <c r="U2" t="s">
        <v>424</v>
      </c>
      <c r="V2" t="s">
        <v>425</v>
      </c>
      <c r="W2" t="s">
        <v>60</v>
      </c>
      <c r="X2" t="s">
        <v>60</v>
      </c>
      <c r="Y2" t="s">
        <v>59</v>
      </c>
      <c r="Z2" t="s">
        <v>205</v>
      </c>
      <c r="AA2" t="s">
        <v>135</v>
      </c>
      <c r="AB2" t="s">
        <v>294</v>
      </c>
      <c r="AC2" t="s">
        <v>234</v>
      </c>
      <c r="AD2" t="s">
        <v>426</v>
      </c>
      <c r="AE2" t="s">
        <v>370</v>
      </c>
      <c r="AF2" t="s">
        <v>427</v>
      </c>
      <c r="AG2" t="s">
        <v>60</v>
      </c>
      <c r="AH2" t="s">
        <v>60</v>
      </c>
      <c r="AI2" t="s">
        <v>60</v>
      </c>
      <c r="AJ2" t="s">
        <v>60</v>
      </c>
      <c r="AK2" t="s">
        <v>60</v>
      </c>
      <c r="AL2" t="s">
        <v>60</v>
      </c>
      <c r="AM2" t="s">
        <v>167</v>
      </c>
      <c r="AN2" t="s">
        <v>349</v>
      </c>
      <c r="AO2" t="s">
        <v>167</v>
      </c>
      <c r="AP2" t="s">
        <v>303</v>
      </c>
      <c r="AQ2" t="s">
        <v>121</v>
      </c>
      <c r="AR2" t="s">
        <v>60</v>
      </c>
      <c r="AS2" t="s">
        <v>60</v>
      </c>
      <c r="AT2" t="s">
        <v>466</v>
      </c>
      <c r="AU2" t="s">
        <v>467</v>
      </c>
      <c r="AV2" t="s">
        <v>468</v>
      </c>
      <c r="AW2" t="s">
        <v>469</v>
      </c>
      <c r="AX2" t="s">
        <v>470</v>
      </c>
      <c r="AY2" t="s">
        <v>60</v>
      </c>
      <c r="AZ2" t="s">
        <v>60</v>
      </c>
      <c r="BA2" t="s">
        <v>304</v>
      </c>
      <c r="BB2" t="s">
        <v>239</v>
      </c>
      <c r="BC2" t="s">
        <v>559</v>
      </c>
      <c r="BD2" t="s">
        <v>60</v>
      </c>
      <c r="BE2" t="s">
        <v>60</v>
      </c>
      <c r="BF2" t="s">
        <v>60</v>
      </c>
      <c r="BG2" t="s">
        <v>60</v>
      </c>
      <c r="BH2" t="s">
        <v>395</v>
      </c>
    </row>
    <row r="3" spans="1:60" x14ac:dyDescent="0.25">
      <c r="A3">
        <v>631</v>
      </c>
      <c r="B3" t="s">
        <v>266</v>
      </c>
      <c r="C3" t="s">
        <v>182</v>
      </c>
      <c r="D3" t="s">
        <v>192</v>
      </c>
      <c r="E3" t="s">
        <v>55</v>
      </c>
      <c r="F3" t="s">
        <v>265</v>
      </c>
      <c r="G3" t="s">
        <v>56</v>
      </c>
      <c r="H3" t="s">
        <v>57</v>
      </c>
      <c r="I3" t="s">
        <v>58</v>
      </c>
      <c r="J3" s="2">
        <v>45207</v>
      </c>
      <c r="K3" t="s">
        <v>135</v>
      </c>
      <c r="L3" t="s">
        <v>326</v>
      </c>
      <c r="M3" t="s">
        <v>428</v>
      </c>
      <c r="N3" t="s">
        <v>429</v>
      </c>
      <c r="O3" t="s">
        <v>60</v>
      </c>
      <c r="P3" t="s">
        <v>60</v>
      </c>
      <c r="Q3" t="s">
        <v>60</v>
      </c>
      <c r="R3" t="s">
        <v>60</v>
      </c>
      <c r="S3" t="s">
        <v>90</v>
      </c>
      <c r="T3" t="s">
        <v>327</v>
      </c>
      <c r="U3" t="s">
        <v>233</v>
      </c>
      <c r="V3" t="s">
        <v>328</v>
      </c>
      <c r="W3" t="s">
        <v>60</v>
      </c>
      <c r="X3" t="s">
        <v>60</v>
      </c>
      <c r="Y3" t="s">
        <v>59</v>
      </c>
      <c r="Z3" t="s">
        <v>476</v>
      </c>
      <c r="AA3" t="s">
        <v>60</v>
      </c>
      <c r="AB3" t="s">
        <v>60</v>
      </c>
      <c r="AC3" t="s">
        <v>60</v>
      </c>
      <c r="AD3" t="s">
        <v>60</v>
      </c>
      <c r="AE3" t="s">
        <v>60</v>
      </c>
      <c r="AF3" t="s">
        <v>60</v>
      </c>
      <c r="AG3" t="s">
        <v>428</v>
      </c>
      <c r="AH3" t="s">
        <v>430</v>
      </c>
      <c r="AI3" t="s">
        <v>133</v>
      </c>
      <c r="AJ3" t="s">
        <v>331</v>
      </c>
      <c r="AK3" t="s">
        <v>431</v>
      </c>
      <c r="AL3" t="s">
        <v>432</v>
      </c>
      <c r="AM3" t="s">
        <v>60</v>
      </c>
      <c r="AN3" t="s">
        <v>60</v>
      </c>
      <c r="AO3" t="s">
        <v>60</v>
      </c>
      <c r="AP3" t="s">
        <v>60</v>
      </c>
      <c r="AQ3" t="s">
        <v>60</v>
      </c>
      <c r="AR3" t="s">
        <v>60</v>
      </c>
      <c r="AS3" t="s">
        <v>471</v>
      </c>
      <c r="AT3" t="s">
        <v>472</v>
      </c>
      <c r="AU3" t="s">
        <v>472</v>
      </c>
      <c r="AV3" t="s">
        <v>473</v>
      </c>
      <c r="AW3" t="s">
        <v>474</v>
      </c>
      <c r="AX3" t="s">
        <v>475</v>
      </c>
      <c r="AY3" t="s">
        <v>121</v>
      </c>
      <c r="AZ3" t="s">
        <v>560</v>
      </c>
      <c r="BA3" t="s">
        <v>60</v>
      </c>
      <c r="BB3" t="s">
        <v>60</v>
      </c>
      <c r="BC3" t="s">
        <v>60</v>
      </c>
      <c r="BD3" t="s">
        <v>60</v>
      </c>
      <c r="BE3" t="s">
        <v>60</v>
      </c>
      <c r="BF3" t="s">
        <v>60</v>
      </c>
      <c r="BG3" t="s">
        <v>60</v>
      </c>
      <c r="BH3" t="s">
        <v>477</v>
      </c>
    </row>
    <row r="4" spans="1:60" x14ac:dyDescent="0.25">
      <c r="A4">
        <v>775</v>
      </c>
      <c r="B4" t="s">
        <v>329</v>
      </c>
      <c r="C4" t="s">
        <v>148</v>
      </c>
      <c r="D4" t="s">
        <v>192</v>
      </c>
      <c r="E4" t="s">
        <v>55</v>
      </c>
      <c r="F4" t="s">
        <v>264</v>
      </c>
      <c r="G4" t="s">
        <v>56</v>
      </c>
      <c r="H4" t="s">
        <v>57</v>
      </c>
      <c r="I4" t="s">
        <v>58</v>
      </c>
      <c r="J4" s="2">
        <v>45207</v>
      </c>
      <c r="K4" t="s">
        <v>386</v>
      </c>
      <c r="L4" t="s">
        <v>387</v>
      </c>
      <c r="M4" t="s">
        <v>362</v>
      </c>
      <c r="N4" t="s">
        <v>374</v>
      </c>
      <c r="O4" t="s">
        <v>60</v>
      </c>
      <c r="P4" t="s">
        <v>60</v>
      </c>
      <c r="Q4" t="s">
        <v>60</v>
      </c>
      <c r="R4" t="s">
        <v>60</v>
      </c>
      <c r="S4" t="s">
        <v>90</v>
      </c>
      <c r="T4" t="s">
        <v>327</v>
      </c>
      <c r="U4" t="s">
        <v>388</v>
      </c>
      <c r="V4" t="s">
        <v>389</v>
      </c>
      <c r="W4" t="s">
        <v>60</v>
      </c>
      <c r="X4" t="s">
        <v>60</v>
      </c>
      <c r="Y4" t="s">
        <v>59</v>
      </c>
      <c r="Z4" t="s">
        <v>483</v>
      </c>
      <c r="AA4" t="s">
        <v>60</v>
      </c>
      <c r="AB4" t="s">
        <v>60</v>
      </c>
      <c r="AC4" t="s">
        <v>60</v>
      </c>
      <c r="AD4" t="s">
        <v>60</v>
      </c>
      <c r="AE4" t="s">
        <v>60</v>
      </c>
      <c r="AF4" t="s">
        <v>60</v>
      </c>
      <c r="AG4" t="s">
        <v>362</v>
      </c>
      <c r="AH4" t="s">
        <v>375</v>
      </c>
      <c r="AI4" t="s">
        <v>431</v>
      </c>
      <c r="AJ4" t="s">
        <v>433</v>
      </c>
      <c r="AK4" t="s">
        <v>167</v>
      </c>
      <c r="AL4" t="s">
        <v>434</v>
      </c>
      <c r="AM4" t="s">
        <v>60</v>
      </c>
      <c r="AN4" t="s">
        <v>60</v>
      </c>
      <c r="AO4" t="s">
        <v>60</v>
      </c>
      <c r="AP4" t="s">
        <v>60</v>
      </c>
      <c r="AQ4" t="s">
        <v>334</v>
      </c>
      <c r="AR4" t="s">
        <v>60</v>
      </c>
      <c r="AS4" t="s">
        <v>60</v>
      </c>
      <c r="AT4" t="s">
        <v>478</v>
      </c>
      <c r="AU4" t="s">
        <v>479</v>
      </c>
      <c r="AV4" t="s">
        <v>480</v>
      </c>
      <c r="AW4" t="s">
        <v>481</v>
      </c>
      <c r="AX4" t="s">
        <v>482</v>
      </c>
      <c r="AY4" t="s">
        <v>121</v>
      </c>
      <c r="AZ4" t="s">
        <v>561</v>
      </c>
      <c r="BA4" t="s">
        <v>60</v>
      </c>
      <c r="BB4" t="s">
        <v>60</v>
      </c>
      <c r="BC4" t="s">
        <v>60</v>
      </c>
      <c r="BD4" t="s">
        <v>60</v>
      </c>
      <c r="BE4" t="s">
        <v>60</v>
      </c>
      <c r="BF4" t="s">
        <v>60</v>
      </c>
      <c r="BG4" t="s">
        <v>60</v>
      </c>
      <c r="BH4" t="s">
        <v>484</v>
      </c>
    </row>
    <row r="5" spans="1:60" x14ac:dyDescent="0.25">
      <c r="A5">
        <v>168</v>
      </c>
      <c r="B5" t="s">
        <v>15</v>
      </c>
      <c r="C5" t="s">
        <v>9</v>
      </c>
      <c r="D5" t="s">
        <v>192</v>
      </c>
      <c r="E5" t="s">
        <v>76</v>
      </c>
      <c r="F5" t="s">
        <v>168</v>
      </c>
      <c r="G5" t="s">
        <v>56</v>
      </c>
      <c r="H5" t="s">
        <v>57</v>
      </c>
      <c r="I5" t="s">
        <v>58</v>
      </c>
      <c r="J5" s="2">
        <v>45207</v>
      </c>
      <c r="K5" t="s">
        <v>135</v>
      </c>
      <c r="L5" t="s">
        <v>390</v>
      </c>
      <c r="M5" t="s">
        <v>435</v>
      </c>
      <c r="N5" t="s">
        <v>436</v>
      </c>
      <c r="O5" t="s">
        <v>437</v>
      </c>
      <c r="P5" t="s">
        <v>438</v>
      </c>
      <c r="Q5" t="s">
        <v>437</v>
      </c>
      <c r="R5" t="s">
        <v>439</v>
      </c>
      <c r="S5" t="s">
        <v>167</v>
      </c>
      <c r="T5" t="s">
        <v>440</v>
      </c>
      <c r="U5" t="s">
        <v>233</v>
      </c>
      <c r="V5" t="s">
        <v>368</v>
      </c>
      <c r="W5" t="s">
        <v>60</v>
      </c>
      <c r="X5" t="s">
        <v>60</v>
      </c>
      <c r="Y5" t="s">
        <v>59</v>
      </c>
      <c r="Z5" t="s">
        <v>489</v>
      </c>
      <c r="AA5" t="s">
        <v>60</v>
      </c>
      <c r="AB5" t="s">
        <v>60</v>
      </c>
      <c r="AC5" t="s">
        <v>60</v>
      </c>
      <c r="AD5" t="s">
        <v>60</v>
      </c>
      <c r="AE5" t="s">
        <v>60</v>
      </c>
      <c r="AF5" t="s">
        <v>60</v>
      </c>
      <c r="AG5" t="s">
        <v>60</v>
      </c>
      <c r="AH5" t="s">
        <v>60</v>
      </c>
      <c r="AI5" t="s">
        <v>133</v>
      </c>
      <c r="AJ5" t="s">
        <v>331</v>
      </c>
      <c r="AK5" t="s">
        <v>431</v>
      </c>
      <c r="AL5" t="s">
        <v>432</v>
      </c>
      <c r="AM5" t="s">
        <v>60</v>
      </c>
      <c r="AN5" t="s">
        <v>60</v>
      </c>
      <c r="AO5" t="s">
        <v>60</v>
      </c>
      <c r="AP5" t="s">
        <v>60</v>
      </c>
      <c r="AQ5" t="s">
        <v>60</v>
      </c>
      <c r="AR5" t="s">
        <v>60</v>
      </c>
      <c r="AS5" t="s">
        <v>60</v>
      </c>
      <c r="AT5" t="s">
        <v>485</v>
      </c>
      <c r="AU5" t="s">
        <v>485</v>
      </c>
      <c r="AV5" t="s">
        <v>486</v>
      </c>
      <c r="AW5" t="s">
        <v>487</v>
      </c>
      <c r="AX5" t="s">
        <v>488</v>
      </c>
      <c r="AY5" t="s">
        <v>121</v>
      </c>
      <c r="AZ5" t="s">
        <v>562</v>
      </c>
      <c r="BA5" t="s">
        <v>60</v>
      </c>
      <c r="BB5" t="s">
        <v>60</v>
      </c>
      <c r="BC5" t="s">
        <v>60</v>
      </c>
      <c r="BD5" t="s">
        <v>60</v>
      </c>
      <c r="BE5" t="s">
        <v>60</v>
      </c>
      <c r="BF5" t="s">
        <v>60</v>
      </c>
      <c r="BG5" t="s">
        <v>60</v>
      </c>
      <c r="BH5" t="s">
        <v>490</v>
      </c>
    </row>
    <row r="6" spans="1:60" x14ac:dyDescent="0.25">
      <c r="A6">
        <v>665</v>
      </c>
      <c r="B6" t="s">
        <v>64</v>
      </c>
      <c r="C6" t="s">
        <v>217</v>
      </c>
      <c r="D6" t="s">
        <v>192</v>
      </c>
      <c r="E6" t="s">
        <v>55</v>
      </c>
      <c r="F6" t="s">
        <v>220</v>
      </c>
      <c r="G6" t="s">
        <v>56</v>
      </c>
      <c r="H6" t="s">
        <v>57</v>
      </c>
      <c r="I6" t="s">
        <v>58</v>
      </c>
      <c r="J6" s="2">
        <v>45207</v>
      </c>
      <c r="K6" t="s">
        <v>90</v>
      </c>
      <c r="L6" t="s">
        <v>441</v>
      </c>
      <c r="M6" t="s">
        <v>60</v>
      </c>
      <c r="N6" t="s">
        <v>60</v>
      </c>
      <c r="O6" t="s">
        <v>60</v>
      </c>
      <c r="P6" t="s">
        <v>60</v>
      </c>
      <c r="Q6" t="s">
        <v>60</v>
      </c>
      <c r="R6" t="s">
        <v>60</v>
      </c>
      <c r="S6" t="s">
        <v>90</v>
      </c>
      <c r="T6" t="s">
        <v>441</v>
      </c>
      <c r="U6" t="s">
        <v>424</v>
      </c>
      <c r="V6" t="s">
        <v>425</v>
      </c>
      <c r="W6" t="s">
        <v>60</v>
      </c>
      <c r="X6" t="s">
        <v>60</v>
      </c>
      <c r="Y6" t="s">
        <v>59</v>
      </c>
      <c r="Z6" t="s">
        <v>191</v>
      </c>
      <c r="AA6" t="s">
        <v>90</v>
      </c>
      <c r="AB6" t="s">
        <v>442</v>
      </c>
      <c r="AC6" t="s">
        <v>135</v>
      </c>
      <c r="AD6" t="s">
        <v>294</v>
      </c>
      <c r="AE6" t="s">
        <v>60</v>
      </c>
      <c r="AF6" t="s">
        <v>60</v>
      </c>
      <c r="AG6" t="s">
        <v>60</v>
      </c>
      <c r="AH6" t="s">
        <v>60</v>
      </c>
      <c r="AI6" t="s">
        <v>60</v>
      </c>
      <c r="AJ6" t="s">
        <v>60</v>
      </c>
      <c r="AK6" t="s">
        <v>60</v>
      </c>
      <c r="AL6" t="s">
        <v>60</v>
      </c>
      <c r="AM6" t="s">
        <v>431</v>
      </c>
      <c r="AN6" t="s">
        <v>491</v>
      </c>
      <c r="AO6" t="s">
        <v>133</v>
      </c>
      <c r="AP6" t="s">
        <v>305</v>
      </c>
      <c r="AQ6" t="s">
        <v>60</v>
      </c>
      <c r="AR6" t="s">
        <v>394</v>
      </c>
      <c r="AS6" t="s">
        <v>60</v>
      </c>
      <c r="AT6" t="s">
        <v>492</v>
      </c>
      <c r="AU6" t="s">
        <v>492</v>
      </c>
      <c r="AV6" t="s">
        <v>493</v>
      </c>
      <c r="AW6" t="s">
        <v>494</v>
      </c>
      <c r="AX6" t="s">
        <v>495</v>
      </c>
      <c r="AY6" t="s">
        <v>60</v>
      </c>
      <c r="AZ6" t="s">
        <v>60</v>
      </c>
      <c r="BA6" t="s">
        <v>304</v>
      </c>
      <c r="BB6" t="s">
        <v>239</v>
      </c>
      <c r="BC6" t="s">
        <v>559</v>
      </c>
      <c r="BD6" t="s">
        <v>60</v>
      </c>
      <c r="BE6" t="s">
        <v>60</v>
      </c>
      <c r="BF6" t="s">
        <v>60</v>
      </c>
      <c r="BG6" t="s">
        <v>60</v>
      </c>
      <c r="BH6" t="s">
        <v>307</v>
      </c>
    </row>
    <row r="7" spans="1:60" x14ac:dyDescent="0.25">
      <c r="A7">
        <v>736</v>
      </c>
      <c r="B7" t="s">
        <v>269</v>
      </c>
      <c r="C7" t="s">
        <v>78</v>
      </c>
      <c r="D7" t="s">
        <v>192</v>
      </c>
      <c r="E7" t="s">
        <v>55</v>
      </c>
      <c r="F7" t="s">
        <v>264</v>
      </c>
      <c r="G7" t="s">
        <v>56</v>
      </c>
      <c r="H7" t="s">
        <v>57</v>
      </c>
      <c r="I7" t="s">
        <v>58</v>
      </c>
      <c r="J7" s="2">
        <v>45207</v>
      </c>
      <c r="K7" t="s">
        <v>386</v>
      </c>
      <c r="L7" t="s">
        <v>387</v>
      </c>
      <c r="M7" t="s">
        <v>443</v>
      </c>
      <c r="N7" t="s">
        <v>444</v>
      </c>
      <c r="O7" t="s">
        <v>60</v>
      </c>
      <c r="P7" t="s">
        <v>60</v>
      </c>
      <c r="Q7" t="s">
        <v>60</v>
      </c>
      <c r="R7" t="s">
        <v>60</v>
      </c>
      <c r="S7" t="s">
        <v>167</v>
      </c>
      <c r="T7" t="s">
        <v>445</v>
      </c>
      <c r="U7" t="s">
        <v>388</v>
      </c>
      <c r="V7" t="s">
        <v>389</v>
      </c>
      <c r="W7" t="s">
        <v>60</v>
      </c>
      <c r="X7" t="s">
        <v>60</v>
      </c>
      <c r="Y7" t="s">
        <v>59</v>
      </c>
      <c r="Z7" t="s">
        <v>397</v>
      </c>
      <c r="AA7" t="s">
        <v>60</v>
      </c>
      <c r="AB7" t="s">
        <v>60</v>
      </c>
      <c r="AC7" t="s">
        <v>60</v>
      </c>
      <c r="AD7" t="s">
        <v>60</v>
      </c>
      <c r="AE7" t="s">
        <v>60</v>
      </c>
      <c r="AF7" t="s">
        <v>60</v>
      </c>
      <c r="AG7" t="s">
        <v>443</v>
      </c>
      <c r="AH7" t="s">
        <v>446</v>
      </c>
      <c r="AI7" t="s">
        <v>239</v>
      </c>
      <c r="AJ7" t="s">
        <v>350</v>
      </c>
      <c r="AK7" t="s">
        <v>431</v>
      </c>
      <c r="AL7" t="s">
        <v>432</v>
      </c>
      <c r="AM7" t="s">
        <v>60</v>
      </c>
      <c r="AN7" t="s">
        <v>60</v>
      </c>
      <c r="AO7" t="s">
        <v>60</v>
      </c>
      <c r="AP7" t="s">
        <v>60</v>
      </c>
      <c r="AQ7" t="s">
        <v>60</v>
      </c>
      <c r="AR7" t="s">
        <v>60</v>
      </c>
      <c r="AS7" t="s">
        <v>60</v>
      </c>
      <c r="AT7" t="s">
        <v>496</v>
      </c>
      <c r="AU7" t="s">
        <v>496</v>
      </c>
      <c r="AV7" t="s">
        <v>497</v>
      </c>
      <c r="AW7" t="s">
        <v>498</v>
      </c>
      <c r="AX7" t="s">
        <v>499</v>
      </c>
      <c r="AY7" t="s">
        <v>121</v>
      </c>
      <c r="AZ7" t="s">
        <v>563</v>
      </c>
      <c r="BA7" t="s">
        <v>60</v>
      </c>
      <c r="BB7" t="s">
        <v>60</v>
      </c>
      <c r="BC7" t="s">
        <v>60</v>
      </c>
      <c r="BD7" t="s">
        <v>60</v>
      </c>
      <c r="BE7" t="s">
        <v>60</v>
      </c>
      <c r="BF7" t="s">
        <v>60</v>
      </c>
      <c r="BG7" t="s">
        <v>60</v>
      </c>
      <c r="BH7" t="s">
        <v>500</v>
      </c>
    </row>
    <row r="8" spans="1:60" x14ac:dyDescent="0.25">
      <c r="A8">
        <v>677</v>
      </c>
      <c r="B8" t="s">
        <v>136</v>
      </c>
      <c r="C8" t="s">
        <v>82</v>
      </c>
      <c r="D8" t="s">
        <v>192</v>
      </c>
      <c r="E8" t="s">
        <v>55</v>
      </c>
      <c r="F8" t="s">
        <v>132</v>
      </c>
      <c r="G8" t="s">
        <v>56</v>
      </c>
      <c r="H8" t="s">
        <v>57</v>
      </c>
      <c r="I8" t="s">
        <v>58</v>
      </c>
      <c r="J8" s="2">
        <v>45207</v>
      </c>
      <c r="K8" t="s">
        <v>90</v>
      </c>
      <c r="L8" t="s">
        <v>441</v>
      </c>
      <c r="M8" t="s">
        <v>60</v>
      </c>
      <c r="N8" t="s">
        <v>60</v>
      </c>
      <c r="O8" t="s">
        <v>60</v>
      </c>
      <c r="P8" t="s">
        <v>60</v>
      </c>
      <c r="Q8" t="s">
        <v>60</v>
      </c>
      <c r="R8" t="s">
        <v>60</v>
      </c>
      <c r="S8" t="s">
        <v>90</v>
      </c>
      <c r="T8" t="s">
        <v>441</v>
      </c>
      <c r="U8" t="s">
        <v>424</v>
      </c>
      <c r="V8" t="s">
        <v>425</v>
      </c>
      <c r="W8" t="s">
        <v>60</v>
      </c>
      <c r="X8" t="s">
        <v>60</v>
      </c>
      <c r="Y8" t="s">
        <v>59</v>
      </c>
      <c r="Z8" t="s">
        <v>191</v>
      </c>
      <c r="AA8" t="s">
        <v>90</v>
      </c>
      <c r="AB8" t="s">
        <v>442</v>
      </c>
      <c r="AC8" t="s">
        <v>135</v>
      </c>
      <c r="AD8" t="s">
        <v>294</v>
      </c>
      <c r="AE8" t="s">
        <v>60</v>
      </c>
      <c r="AF8" t="s">
        <v>60</v>
      </c>
      <c r="AG8" t="s">
        <v>60</v>
      </c>
      <c r="AH8" t="s">
        <v>60</v>
      </c>
      <c r="AI8" t="s">
        <v>60</v>
      </c>
      <c r="AJ8" t="s">
        <v>60</v>
      </c>
      <c r="AK8" t="s">
        <v>60</v>
      </c>
      <c r="AL8" t="s">
        <v>60</v>
      </c>
      <c r="AM8" t="s">
        <v>431</v>
      </c>
      <c r="AN8" t="s">
        <v>491</v>
      </c>
      <c r="AO8" t="s">
        <v>133</v>
      </c>
      <c r="AP8" t="s">
        <v>305</v>
      </c>
      <c r="AQ8" t="s">
        <v>60</v>
      </c>
      <c r="AR8" t="s">
        <v>60</v>
      </c>
      <c r="AS8" t="s">
        <v>60</v>
      </c>
      <c r="AT8" t="s">
        <v>501</v>
      </c>
      <c r="AU8" t="s">
        <v>501</v>
      </c>
      <c r="AV8" t="s">
        <v>502</v>
      </c>
      <c r="AW8" t="s">
        <v>503</v>
      </c>
      <c r="AX8" t="s">
        <v>504</v>
      </c>
      <c r="AY8" t="s">
        <v>60</v>
      </c>
      <c r="AZ8" t="s">
        <v>60</v>
      </c>
      <c r="BA8" t="s">
        <v>304</v>
      </c>
      <c r="BB8" t="s">
        <v>239</v>
      </c>
      <c r="BC8" t="s">
        <v>559</v>
      </c>
      <c r="BD8" t="s">
        <v>60</v>
      </c>
      <c r="BE8" t="s">
        <v>60</v>
      </c>
      <c r="BF8" t="s">
        <v>60</v>
      </c>
      <c r="BG8" t="s">
        <v>60</v>
      </c>
      <c r="BH8" t="s">
        <v>194</v>
      </c>
    </row>
    <row r="9" spans="1:60" x14ac:dyDescent="0.25">
      <c r="A9">
        <v>940</v>
      </c>
      <c r="B9" t="s">
        <v>369</v>
      </c>
      <c r="C9" t="s">
        <v>360</v>
      </c>
      <c r="D9" t="s">
        <v>192</v>
      </c>
      <c r="E9" t="s">
        <v>55</v>
      </c>
      <c r="F9" t="s">
        <v>168</v>
      </c>
      <c r="G9" t="s">
        <v>56</v>
      </c>
      <c r="H9" t="s">
        <v>57</v>
      </c>
      <c r="I9" t="s">
        <v>58</v>
      </c>
      <c r="J9" s="2">
        <v>45207</v>
      </c>
      <c r="K9" t="s">
        <v>135</v>
      </c>
      <c r="L9" t="s">
        <v>326</v>
      </c>
      <c r="M9" t="s">
        <v>447</v>
      </c>
      <c r="N9" t="s">
        <v>448</v>
      </c>
      <c r="O9" t="s">
        <v>60</v>
      </c>
      <c r="P9" t="s">
        <v>60</v>
      </c>
      <c r="Q9" t="s">
        <v>60</v>
      </c>
      <c r="R9" t="s">
        <v>60</v>
      </c>
      <c r="S9" t="s">
        <v>60</v>
      </c>
      <c r="T9" t="s">
        <v>60</v>
      </c>
      <c r="U9" t="s">
        <v>233</v>
      </c>
      <c r="V9" t="s">
        <v>328</v>
      </c>
      <c r="W9" t="s">
        <v>60</v>
      </c>
      <c r="X9" t="s">
        <v>60</v>
      </c>
      <c r="Y9" t="s">
        <v>59</v>
      </c>
      <c r="Z9" t="s">
        <v>510</v>
      </c>
      <c r="AA9" t="s">
        <v>60</v>
      </c>
      <c r="AB9" t="s">
        <v>60</v>
      </c>
      <c r="AC9" t="s">
        <v>60</v>
      </c>
      <c r="AD9" t="s">
        <v>60</v>
      </c>
      <c r="AE9" t="s">
        <v>60</v>
      </c>
      <c r="AF9" t="s">
        <v>60</v>
      </c>
      <c r="AG9" t="s">
        <v>447</v>
      </c>
      <c r="AH9" t="s">
        <v>449</v>
      </c>
      <c r="AI9" t="s">
        <v>431</v>
      </c>
      <c r="AJ9" t="s">
        <v>433</v>
      </c>
      <c r="AK9" t="s">
        <v>431</v>
      </c>
      <c r="AL9" t="s">
        <v>432</v>
      </c>
      <c r="AM9" t="s">
        <v>60</v>
      </c>
      <c r="AN9" t="s">
        <v>60</v>
      </c>
      <c r="AO9" t="s">
        <v>60</v>
      </c>
      <c r="AP9" t="s">
        <v>60</v>
      </c>
      <c r="AQ9" t="s">
        <v>376</v>
      </c>
      <c r="AR9" t="s">
        <v>60</v>
      </c>
      <c r="AS9" t="s">
        <v>60</v>
      </c>
      <c r="AT9" t="s">
        <v>505</v>
      </c>
      <c r="AU9" t="s">
        <v>506</v>
      </c>
      <c r="AV9" t="s">
        <v>507</v>
      </c>
      <c r="AW9" t="s">
        <v>508</v>
      </c>
      <c r="AX9" t="s">
        <v>509</v>
      </c>
      <c r="AY9" t="s">
        <v>121</v>
      </c>
      <c r="AZ9" t="s">
        <v>564</v>
      </c>
      <c r="BA9" t="s">
        <v>60</v>
      </c>
      <c r="BB9" t="s">
        <v>60</v>
      </c>
      <c r="BC9" t="s">
        <v>60</v>
      </c>
      <c r="BD9" t="s">
        <v>60</v>
      </c>
      <c r="BE9" t="s">
        <v>60</v>
      </c>
      <c r="BF9" t="s">
        <v>60</v>
      </c>
      <c r="BG9" t="s">
        <v>60</v>
      </c>
      <c r="BH9" t="s">
        <v>511</v>
      </c>
    </row>
    <row r="10" spans="1:60" x14ac:dyDescent="0.25">
      <c r="A10">
        <v>776</v>
      </c>
      <c r="B10" t="s">
        <v>283</v>
      </c>
      <c r="C10" t="s">
        <v>150</v>
      </c>
      <c r="D10" t="s">
        <v>192</v>
      </c>
      <c r="E10" t="s">
        <v>55</v>
      </c>
      <c r="F10" t="s">
        <v>168</v>
      </c>
      <c r="G10" t="s">
        <v>56</v>
      </c>
      <c r="H10" t="s">
        <v>57</v>
      </c>
      <c r="I10" t="s">
        <v>58</v>
      </c>
      <c r="J10" s="2">
        <v>45207</v>
      </c>
      <c r="K10" t="s">
        <v>135</v>
      </c>
      <c r="L10" t="s">
        <v>326</v>
      </c>
      <c r="M10" t="s">
        <v>362</v>
      </c>
      <c r="N10" t="s">
        <v>374</v>
      </c>
      <c r="O10" t="s">
        <v>60</v>
      </c>
      <c r="P10" t="s">
        <v>60</v>
      </c>
      <c r="Q10" t="s">
        <v>60</v>
      </c>
      <c r="R10" t="s">
        <v>60</v>
      </c>
      <c r="S10" t="s">
        <v>167</v>
      </c>
      <c r="T10" t="s">
        <v>445</v>
      </c>
      <c r="U10" t="s">
        <v>233</v>
      </c>
      <c r="V10" t="s">
        <v>328</v>
      </c>
      <c r="W10" t="s">
        <v>60</v>
      </c>
      <c r="X10" t="s">
        <v>60</v>
      </c>
      <c r="Y10" t="s">
        <v>59</v>
      </c>
      <c r="Z10" t="s">
        <v>398</v>
      </c>
      <c r="AA10" t="s">
        <v>60</v>
      </c>
      <c r="AB10" t="s">
        <v>60</v>
      </c>
      <c r="AC10" t="s">
        <v>60</v>
      </c>
      <c r="AD10" t="s">
        <v>60</v>
      </c>
      <c r="AE10" t="s">
        <v>60</v>
      </c>
      <c r="AF10" t="s">
        <v>60</v>
      </c>
      <c r="AG10" t="s">
        <v>362</v>
      </c>
      <c r="AH10" t="s">
        <v>375</v>
      </c>
      <c r="AI10" t="s">
        <v>133</v>
      </c>
      <c r="AJ10" t="s">
        <v>331</v>
      </c>
      <c r="AK10" t="s">
        <v>431</v>
      </c>
      <c r="AL10" t="s">
        <v>432</v>
      </c>
      <c r="AM10" t="s">
        <v>60</v>
      </c>
      <c r="AN10" t="s">
        <v>60</v>
      </c>
      <c r="AO10" t="s">
        <v>60</v>
      </c>
      <c r="AP10" t="s">
        <v>60</v>
      </c>
      <c r="AQ10" t="s">
        <v>121</v>
      </c>
      <c r="AR10" t="s">
        <v>60</v>
      </c>
      <c r="AS10" t="s">
        <v>60</v>
      </c>
      <c r="AT10" t="s">
        <v>512</v>
      </c>
      <c r="AU10" t="s">
        <v>513</v>
      </c>
      <c r="AV10" t="s">
        <v>514</v>
      </c>
      <c r="AW10" t="s">
        <v>515</v>
      </c>
      <c r="AX10" t="s">
        <v>516</v>
      </c>
      <c r="AY10" t="s">
        <v>121</v>
      </c>
      <c r="AZ10" t="s">
        <v>565</v>
      </c>
      <c r="BA10" t="s">
        <v>60</v>
      </c>
      <c r="BB10" t="s">
        <v>60</v>
      </c>
      <c r="BC10" t="s">
        <v>60</v>
      </c>
      <c r="BD10" t="s">
        <v>60</v>
      </c>
      <c r="BE10" t="s">
        <v>60</v>
      </c>
      <c r="BF10" t="s">
        <v>60</v>
      </c>
      <c r="BG10" t="s">
        <v>60</v>
      </c>
      <c r="BH10" t="s">
        <v>399</v>
      </c>
    </row>
    <row r="11" spans="1:60" x14ac:dyDescent="0.25">
      <c r="A11">
        <v>798</v>
      </c>
      <c r="B11" t="s">
        <v>226</v>
      </c>
      <c r="C11" t="s">
        <v>156</v>
      </c>
      <c r="D11" t="s">
        <v>192</v>
      </c>
      <c r="E11" t="s">
        <v>55</v>
      </c>
      <c r="F11" t="s">
        <v>168</v>
      </c>
      <c r="G11" t="s">
        <v>56</v>
      </c>
      <c r="H11" t="s">
        <v>57</v>
      </c>
      <c r="I11" t="s">
        <v>58</v>
      </c>
      <c r="J11" s="2">
        <v>45207</v>
      </c>
      <c r="K11" t="s">
        <v>60</v>
      </c>
      <c r="L11" t="s">
        <v>60</v>
      </c>
      <c r="M11" t="s">
        <v>169</v>
      </c>
      <c r="N11" t="s">
        <v>326</v>
      </c>
      <c r="O11" t="s">
        <v>60</v>
      </c>
      <c r="P11" t="s">
        <v>60</v>
      </c>
      <c r="Q11" t="s">
        <v>60</v>
      </c>
      <c r="R11" t="s">
        <v>60</v>
      </c>
      <c r="S11" t="s">
        <v>90</v>
      </c>
      <c r="T11" t="s">
        <v>327</v>
      </c>
      <c r="U11" t="s">
        <v>233</v>
      </c>
      <c r="V11" t="s">
        <v>328</v>
      </c>
      <c r="W11" t="s">
        <v>135</v>
      </c>
      <c r="X11" t="s">
        <v>332</v>
      </c>
      <c r="Y11" t="s">
        <v>59</v>
      </c>
      <c r="Z11" t="s">
        <v>191</v>
      </c>
      <c r="AA11" t="s">
        <v>60</v>
      </c>
      <c r="AB11" t="s">
        <v>60</v>
      </c>
      <c r="AC11" t="s">
        <v>60</v>
      </c>
      <c r="AD11" t="s">
        <v>60</v>
      </c>
      <c r="AE11" t="s">
        <v>60</v>
      </c>
      <c r="AF11" t="s">
        <v>60</v>
      </c>
      <c r="AG11" t="s">
        <v>169</v>
      </c>
      <c r="AH11" t="s">
        <v>330</v>
      </c>
      <c r="AI11" t="s">
        <v>133</v>
      </c>
      <c r="AJ11" t="s">
        <v>331</v>
      </c>
      <c r="AK11" t="s">
        <v>431</v>
      </c>
      <c r="AL11" t="s">
        <v>432</v>
      </c>
      <c r="AM11" t="s">
        <v>60</v>
      </c>
      <c r="AN11" t="s">
        <v>60</v>
      </c>
      <c r="AO11" t="s">
        <v>60</v>
      </c>
      <c r="AP11" t="s">
        <v>60</v>
      </c>
      <c r="AQ11" t="s">
        <v>60</v>
      </c>
      <c r="AR11" t="s">
        <v>60</v>
      </c>
      <c r="AS11" t="s">
        <v>60</v>
      </c>
      <c r="AT11" t="s">
        <v>517</v>
      </c>
      <c r="AU11" t="s">
        <v>517</v>
      </c>
      <c r="AV11" t="s">
        <v>518</v>
      </c>
      <c r="AW11" t="s">
        <v>519</v>
      </c>
      <c r="AX11" t="s">
        <v>520</v>
      </c>
      <c r="AY11" t="s">
        <v>121</v>
      </c>
      <c r="AZ11" t="s">
        <v>566</v>
      </c>
      <c r="BA11" t="s">
        <v>60</v>
      </c>
      <c r="BB11" t="s">
        <v>60</v>
      </c>
      <c r="BC11" t="s">
        <v>60</v>
      </c>
      <c r="BD11" t="s">
        <v>60</v>
      </c>
      <c r="BE11" t="s">
        <v>60</v>
      </c>
      <c r="BF11" t="s">
        <v>60</v>
      </c>
      <c r="BG11" t="s">
        <v>60</v>
      </c>
      <c r="BH11" t="s">
        <v>335</v>
      </c>
    </row>
    <row r="12" spans="1:60" x14ac:dyDescent="0.25">
      <c r="A12">
        <v>772</v>
      </c>
      <c r="B12" t="s">
        <v>333</v>
      </c>
      <c r="C12" t="s">
        <v>174</v>
      </c>
      <c r="D12" t="s">
        <v>192</v>
      </c>
      <c r="E12" t="s">
        <v>55</v>
      </c>
      <c r="F12" t="s">
        <v>265</v>
      </c>
      <c r="G12" t="s">
        <v>56</v>
      </c>
      <c r="H12" t="s">
        <v>57</v>
      </c>
      <c r="I12" t="s">
        <v>58</v>
      </c>
      <c r="J12" s="2">
        <v>45207</v>
      </c>
      <c r="K12" t="s">
        <v>135</v>
      </c>
      <c r="L12" t="s">
        <v>326</v>
      </c>
      <c r="M12" t="s">
        <v>450</v>
      </c>
      <c r="N12" t="s">
        <v>451</v>
      </c>
      <c r="O12" t="s">
        <v>60</v>
      </c>
      <c r="P12" t="s">
        <v>60</v>
      </c>
      <c r="Q12" t="s">
        <v>60</v>
      </c>
      <c r="R12" t="s">
        <v>60</v>
      </c>
      <c r="S12" t="s">
        <v>90</v>
      </c>
      <c r="T12" t="s">
        <v>327</v>
      </c>
      <c r="U12" t="s">
        <v>233</v>
      </c>
      <c r="V12" t="s">
        <v>328</v>
      </c>
      <c r="W12" t="s">
        <v>60</v>
      </c>
      <c r="X12" t="s">
        <v>60</v>
      </c>
      <c r="Y12" t="s">
        <v>59</v>
      </c>
      <c r="Z12" t="s">
        <v>526</v>
      </c>
      <c r="AA12" t="s">
        <v>60</v>
      </c>
      <c r="AB12" t="s">
        <v>60</v>
      </c>
      <c r="AC12" t="s">
        <v>60</v>
      </c>
      <c r="AD12" t="s">
        <v>60</v>
      </c>
      <c r="AE12" t="s">
        <v>60</v>
      </c>
      <c r="AF12" t="s">
        <v>60</v>
      </c>
      <c r="AG12" t="s">
        <v>450</v>
      </c>
      <c r="AH12" t="s">
        <v>452</v>
      </c>
      <c r="AI12" t="s">
        <v>431</v>
      </c>
      <c r="AJ12" t="s">
        <v>433</v>
      </c>
      <c r="AK12" t="s">
        <v>167</v>
      </c>
      <c r="AL12" t="s">
        <v>434</v>
      </c>
      <c r="AM12" t="s">
        <v>60</v>
      </c>
      <c r="AN12" t="s">
        <v>60</v>
      </c>
      <c r="AO12" t="s">
        <v>60</v>
      </c>
      <c r="AP12" t="s">
        <v>60</v>
      </c>
      <c r="AQ12" t="s">
        <v>121</v>
      </c>
      <c r="AR12" t="s">
        <v>60</v>
      </c>
      <c r="AS12" t="s">
        <v>60</v>
      </c>
      <c r="AT12" t="s">
        <v>521</v>
      </c>
      <c r="AU12" t="s">
        <v>522</v>
      </c>
      <c r="AV12" t="s">
        <v>523</v>
      </c>
      <c r="AW12" t="s">
        <v>524</v>
      </c>
      <c r="AX12" t="s">
        <v>525</v>
      </c>
      <c r="AY12" t="s">
        <v>121</v>
      </c>
      <c r="AZ12" t="s">
        <v>567</v>
      </c>
      <c r="BA12" t="s">
        <v>60</v>
      </c>
      <c r="BB12" t="s">
        <v>60</v>
      </c>
      <c r="BC12" t="s">
        <v>60</v>
      </c>
      <c r="BD12" t="s">
        <v>60</v>
      </c>
      <c r="BE12" t="s">
        <v>60</v>
      </c>
      <c r="BF12" t="s">
        <v>60</v>
      </c>
      <c r="BG12" t="s">
        <v>60</v>
      </c>
      <c r="BH12" t="s">
        <v>527</v>
      </c>
    </row>
    <row r="13" spans="1:60" x14ac:dyDescent="0.25">
      <c r="A13">
        <v>894</v>
      </c>
      <c r="B13" t="s">
        <v>371</v>
      </c>
      <c r="C13" t="s">
        <v>358</v>
      </c>
      <c r="D13" t="s">
        <v>192</v>
      </c>
      <c r="E13" t="s">
        <v>55</v>
      </c>
      <c r="F13" t="s">
        <v>168</v>
      </c>
      <c r="G13" t="s">
        <v>56</v>
      </c>
      <c r="H13" t="s">
        <v>57</v>
      </c>
      <c r="I13" t="s">
        <v>58</v>
      </c>
      <c r="J13" s="2">
        <v>45207</v>
      </c>
      <c r="K13" t="s">
        <v>135</v>
      </c>
      <c r="L13" t="s">
        <v>326</v>
      </c>
      <c r="M13" t="s">
        <v>453</v>
      </c>
      <c r="N13" t="s">
        <v>454</v>
      </c>
      <c r="O13" t="s">
        <v>60</v>
      </c>
      <c r="P13" t="s">
        <v>60</v>
      </c>
      <c r="Q13" t="s">
        <v>60</v>
      </c>
      <c r="R13" t="s">
        <v>60</v>
      </c>
      <c r="S13" t="s">
        <v>167</v>
      </c>
      <c r="T13" t="s">
        <v>445</v>
      </c>
      <c r="U13" t="s">
        <v>233</v>
      </c>
      <c r="V13" t="s">
        <v>328</v>
      </c>
      <c r="W13" t="s">
        <v>60</v>
      </c>
      <c r="X13" t="s">
        <v>60</v>
      </c>
      <c r="Y13" t="s">
        <v>59</v>
      </c>
      <c r="Z13" t="s">
        <v>532</v>
      </c>
      <c r="AA13" t="s">
        <v>60</v>
      </c>
      <c r="AB13" t="s">
        <v>60</v>
      </c>
      <c r="AC13" t="s">
        <v>60</v>
      </c>
      <c r="AD13" t="s">
        <v>60</v>
      </c>
      <c r="AE13" t="s">
        <v>60</v>
      </c>
      <c r="AF13" t="s">
        <v>60</v>
      </c>
      <c r="AG13" t="s">
        <v>453</v>
      </c>
      <c r="AH13" t="s">
        <v>455</v>
      </c>
      <c r="AI13" t="s">
        <v>133</v>
      </c>
      <c r="AJ13" t="s">
        <v>331</v>
      </c>
      <c r="AK13" t="s">
        <v>431</v>
      </c>
      <c r="AL13" t="s">
        <v>432</v>
      </c>
      <c r="AM13" t="s">
        <v>60</v>
      </c>
      <c r="AN13" t="s">
        <v>60</v>
      </c>
      <c r="AO13" t="s">
        <v>60</v>
      </c>
      <c r="AP13" t="s">
        <v>60</v>
      </c>
      <c r="AQ13" t="s">
        <v>60</v>
      </c>
      <c r="AR13" t="s">
        <v>60</v>
      </c>
      <c r="AS13" t="s">
        <v>60</v>
      </c>
      <c r="AT13" t="s">
        <v>528</v>
      </c>
      <c r="AU13" t="s">
        <v>528</v>
      </c>
      <c r="AV13" t="s">
        <v>529</v>
      </c>
      <c r="AW13" t="s">
        <v>530</v>
      </c>
      <c r="AX13" t="s">
        <v>531</v>
      </c>
      <c r="AY13" t="s">
        <v>121</v>
      </c>
      <c r="AZ13" t="s">
        <v>568</v>
      </c>
      <c r="BA13" t="s">
        <v>60</v>
      </c>
      <c r="BB13" t="s">
        <v>60</v>
      </c>
      <c r="BC13" t="s">
        <v>60</v>
      </c>
      <c r="BD13" t="s">
        <v>60</v>
      </c>
      <c r="BE13" t="s">
        <v>60</v>
      </c>
      <c r="BF13" t="s">
        <v>60</v>
      </c>
      <c r="BG13" t="s">
        <v>60</v>
      </c>
      <c r="BH13" t="s">
        <v>533</v>
      </c>
    </row>
    <row r="14" spans="1:60" x14ac:dyDescent="0.25">
      <c r="A14">
        <v>255</v>
      </c>
      <c r="B14" t="s">
        <v>64</v>
      </c>
      <c r="C14" t="s">
        <v>189</v>
      </c>
      <c r="D14" t="s">
        <v>192</v>
      </c>
      <c r="E14" t="s">
        <v>55</v>
      </c>
      <c r="F14" t="s">
        <v>132</v>
      </c>
      <c r="G14" t="s">
        <v>56</v>
      </c>
      <c r="H14" t="s">
        <v>57</v>
      </c>
      <c r="I14" t="s">
        <v>58</v>
      </c>
      <c r="J14" s="2">
        <v>45207</v>
      </c>
      <c r="K14" t="s">
        <v>60</v>
      </c>
      <c r="L14" t="s">
        <v>60</v>
      </c>
      <c r="M14" t="s">
        <v>60</v>
      </c>
      <c r="N14" t="s">
        <v>60</v>
      </c>
      <c r="O14" t="s">
        <v>60</v>
      </c>
      <c r="P14" t="s">
        <v>60</v>
      </c>
      <c r="Q14" t="s">
        <v>60</v>
      </c>
      <c r="R14" t="s">
        <v>60</v>
      </c>
      <c r="S14" t="s">
        <v>90</v>
      </c>
      <c r="T14" t="s">
        <v>441</v>
      </c>
      <c r="U14" t="s">
        <v>424</v>
      </c>
      <c r="V14" t="s">
        <v>425</v>
      </c>
      <c r="W14" t="s">
        <v>60</v>
      </c>
      <c r="X14" t="s">
        <v>60</v>
      </c>
      <c r="Y14" t="s">
        <v>59</v>
      </c>
      <c r="Z14" t="s">
        <v>205</v>
      </c>
      <c r="AA14" t="s">
        <v>135</v>
      </c>
      <c r="AB14" t="s">
        <v>294</v>
      </c>
      <c r="AC14" t="s">
        <v>234</v>
      </c>
      <c r="AD14" t="s">
        <v>426</v>
      </c>
      <c r="AE14" t="s">
        <v>60</v>
      </c>
      <c r="AF14" t="s">
        <v>60</v>
      </c>
      <c r="AG14" t="s">
        <v>60</v>
      </c>
      <c r="AH14" t="s">
        <v>60</v>
      </c>
      <c r="AI14" t="s">
        <v>60</v>
      </c>
      <c r="AJ14" t="s">
        <v>60</v>
      </c>
      <c r="AK14" t="s">
        <v>60</v>
      </c>
      <c r="AL14" t="s">
        <v>60</v>
      </c>
      <c r="AM14" t="s">
        <v>464</v>
      </c>
      <c r="AN14" t="s">
        <v>534</v>
      </c>
      <c r="AO14" t="s">
        <v>167</v>
      </c>
      <c r="AP14" t="s">
        <v>303</v>
      </c>
      <c r="AQ14" t="s">
        <v>121</v>
      </c>
      <c r="AR14" t="s">
        <v>60</v>
      </c>
      <c r="AS14" t="s">
        <v>60</v>
      </c>
      <c r="AT14" t="s">
        <v>535</v>
      </c>
      <c r="AU14" t="s">
        <v>536</v>
      </c>
      <c r="AV14" t="s">
        <v>537</v>
      </c>
      <c r="AW14" t="s">
        <v>538</v>
      </c>
      <c r="AX14" t="s">
        <v>539</v>
      </c>
      <c r="AY14" t="s">
        <v>60</v>
      </c>
      <c r="AZ14" t="s">
        <v>60</v>
      </c>
      <c r="BA14" t="s">
        <v>304</v>
      </c>
      <c r="BB14" t="s">
        <v>239</v>
      </c>
      <c r="BC14" t="s">
        <v>559</v>
      </c>
      <c r="BD14" t="s">
        <v>60</v>
      </c>
      <c r="BE14" t="s">
        <v>60</v>
      </c>
      <c r="BF14" t="s">
        <v>60</v>
      </c>
      <c r="BG14" t="s">
        <v>60</v>
      </c>
      <c r="BH14" t="s">
        <v>351</v>
      </c>
    </row>
    <row r="15" spans="1:60" x14ac:dyDescent="0.25">
      <c r="A15">
        <v>246</v>
      </c>
      <c r="B15" t="s">
        <v>284</v>
      </c>
      <c r="C15" t="s">
        <v>282</v>
      </c>
      <c r="D15" t="s">
        <v>192</v>
      </c>
      <c r="E15" t="s">
        <v>55</v>
      </c>
      <c r="F15" t="s">
        <v>220</v>
      </c>
      <c r="G15" t="s">
        <v>56</v>
      </c>
      <c r="H15" t="s">
        <v>57</v>
      </c>
      <c r="I15" t="s">
        <v>58</v>
      </c>
      <c r="J15" s="2">
        <v>45207</v>
      </c>
      <c r="K15" t="s">
        <v>135</v>
      </c>
      <c r="L15" t="s">
        <v>296</v>
      </c>
      <c r="M15" t="s">
        <v>60</v>
      </c>
      <c r="N15" t="s">
        <v>60</v>
      </c>
      <c r="O15" t="s">
        <v>60</v>
      </c>
      <c r="P15" t="s">
        <v>60</v>
      </c>
      <c r="Q15" t="s">
        <v>60</v>
      </c>
      <c r="R15" t="s">
        <v>60</v>
      </c>
      <c r="S15" t="s">
        <v>90</v>
      </c>
      <c r="T15" t="s">
        <v>441</v>
      </c>
      <c r="U15" t="s">
        <v>233</v>
      </c>
      <c r="V15" t="s">
        <v>295</v>
      </c>
      <c r="W15" t="s">
        <v>60</v>
      </c>
      <c r="X15" t="s">
        <v>60</v>
      </c>
      <c r="Y15" t="s">
        <v>59</v>
      </c>
      <c r="Z15" t="s">
        <v>191</v>
      </c>
      <c r="AA15" t="s">
        <v>169</v>
      </c>
      <c r="AB15" t="s">
        <v>297</v>
      </c>
      <c r="AC15" t="s">
        <v>60</v>
      </c>
      <c r="AD15" t="s">
        <v>60</v>
      </c>
      <c r="AE15" t="s">
        <v>456</v>
      </c>
      <c r="AF15" t="s">
        <v>457</v>
      </c>
      <c r="AG15" t="s">
        <v>60</v>
      </c>
      <c r="AH15" t="s">
        <v>60</v>
      </c>
      <c r="AI15" t="s">
        <v>60</v>
      </c>
      <c r="AJ15" t="s">
        <v>60</v>
      </c>
      <c r="AK15" t="s">
        <v>60</v>
      </c>
      <c r="AL15" t="s">
        <v>60</v>
      </c>
      <c r="AM15" t="s">
        <v>431</v>
      </c>
      <c r="AN15" t="s">
        <v>491</v>
      </c>
      <c r="AO15" t="s">
        <v>133</v>
      </c>
      <c r="AP15" t="s">
        <v>305</v>
      </c>
      <c r="AQ15" t="s">
        <v>60</v>
      </c>
      <c r="AR15" t="s">
        <v>60</v>
      </c>
      <c r="AS15" t="s">
        <v>60</v>
      </c>
      <c r="AT15" t="s">
        <v>540</v>
      </c>
      <c r="AU15" t="s">
        <v>540</v>
      </c>
      <c r="AV15" t="s">
        <v>541</v>
      </c>
      <c r="AW15" t="s">
        <v>542</v>
      </c>
      <c r="AX15" t="s">
        <v>543</v>
      </c>
      <c r="AY15" t="s">
        <v>60</v>
      </c>
      <c r="AZ15" t="s">
        <v>60</v>
      </c>
      <c r="BA15" t="s">
        <v>304</v>
      </c>
      <c r="BB15" t="s">
        <v>239</v>
      </c>
      <c r="BC15" t="s">
        <v>559</v>
      </c>
      <c r="BD15" t="s">
        <v>60</v>
      </c>
      <c r="BE15" t="s">
        <v>60</v>
      </c>
      <c r="BF15" t="s">
        <v>60</v>
      </c>
      <c r="BG15" t="s">
        <v>60</v>
      </c>
      <c r="BH15" t="s">
        <v>307</v>
      </c>
    </row>
    <row r="16" spans="1:60" x14ac:dyDescent="0.25">
      <c r="A16">
        <v>790</v>
      </c>
      <c r="B16" t="s">
        <v>176</v>
      </c>
      <c r="C16" t="s">
        <v>111</v>
      </c>
      <c r="D16" t="s">
        <v>192</v>
      </c>
      <c r="E16" t="s">
        <v>55</v>
      </c>
      <c r="F16" t="s">
        <v>132</v>
      </c>
      <c r="G16" t="s">
        <v>56</v>
      </c>
      <c r="H16" t="s">
        <v>57</v>
      </c>
      <c r="I16" t="s">
        <v>58</v>
      </c>
      <c r="J16" s="2">
        <v>45207</v>
      </c>
      <c r="K16" t="s">
        <v>135</v>
      </c>
      <c r="L16" t="s">
        <v>296</v>
      </c>
      <c r="M16" t="s">
        <v>60</v>
      </c>
      <c r="N16" t="s">
        <v>60</v>
      </c>
      <c r="O16" t="s">
        <v>60</v>
      </c>
      <c r="P16" t="s">
        <v>60</v>
      </c>
      <c r="Q16" t="s">
        <v>60</v>
      </c>
      <c r="R16" t="s">
        <v>60</v>
      </c>
      <c r="S16" t="s">
        <v>60</v>
      </c>
      <c r="T16" t="s">
        <v>60</v>
      </c>
      <c r="U16" t="s">
        <v>233</v>
      </c>
      <c r="V16" t="s">
        <v>295</v>
      </c>
      <c r="W16" t="s">
        <v>60</v>
      </c>
      <c r="X16" t="s">
        <v>60</v>
      </c>
      <c r="Y16" t="s">
        <v>59</v>
      </c>
      <c r="Z16" t="s">
        <v>191</v>
      </c>
      <c r="AA16" t="s">
        <v>169</v>
      </c>
      <c r="AB16" t="s">
        <v>297</v>
      </c>
      <c r="AC16" t="s">
        <v>60</v>
      </c>
      <c r="AD16" t="s">
        <v>60</v>
      </c>
      <c r="AE16" t="s">
        <v>60</v>
      </c>
      <c r="AF16" t="s">
        <v>60</v>
      </c>
      <c r="AG16" t="s">
        <v>60</v>
      </c>
      <c r="AH16" t="s">
        <v>60</v>
      </c>
      <c r="AI16" t="s">
        <v>60</v>
      </c>
      <c r="AJ16" t="s">
        <v>60</v>
      </c>
      <c r="AK16" t="s">
        <v>60</v>
      </c>
      <c r="AL16" t="s">
        <v>60</v>
      </c>
      <c r="AM16" t="s">
        <v>133</v>
      </c>
      <c r="AN16" t="s">
        <v>306</v>
      </c>
      <c r="AO16" t="s">
        <v>133</v>
      </c>
      <c r="AP16" t="s">
        <v>305</v>
      </c>
      <c r="AQ16" t="s">
        <v>60</v>
      </c>
      <c r="AR16" t="s">
        <v>60</v>
      </c>
      <c r="AS16" t="s">
        <v>60</v>
      </c>
      <c r="AT16" t="s">
        <v>318</v>
      </c>
      <c r="AU16" t="s">
        <v>318</v>
      </c>
      <c r="AV16" t="s">
        <v>544</v>
      </c>
      <c r="AW16" t="s">
        <v>545</v>
      </c>
      <c r="AX16" t="s">
        <v>396</v>
      </c>
      <c r="AY16" t="s">
        <v>60</v>
      </c>
      <c r="AZ16" t="s">
        <v>60</v>
      </c>
      <c r="BA16" t="s">
        <v>304</v>
      </c>
      <c r="BB16" t="s">
        <v>239</v>
      </c>
      <c r="BC16" t="s">
        <v>559</v>
      </c>
      <c r="BD16" t="s">
        <v>60</v>
      </c>
      <c r="BE16" t="s">
        <v>60</v>
      </c>
      <c r="BF16" t="s">
        <v>60</v>
      </c>
      <c r="BG16" t="s">
        <v>60</v>
      </c>
      <c r="BH16" t="s">
        <v>194</v>
      </c>
    </row>
    <row r="17" spans="1:60" x14ac:dyDescent="0.25">
      <c r="A17">
        <v>161</v>
      </c>
      <c r="B17" t="s">
        <v>134</v>
      </c>
      <c r="C17" t="s">
        <v>8</v>
      </c>
      <c r="D17" t="s">
        <v>192</v>
      </c>
      <c r="E17" t="s">
        <v>55</v>
      </c>
      <c r="F17" t="s">
        <v>132</v>
      </c>
      <c r="G17" t="s">
        <v>56</v>
      </c>
      <c r="H17" t="s">
        <v>57</v>
      </c>
      <c r="I17" t="s">
        <v>58</v>
      </c>
      <c r="J17" s="2">
        <v>45207</v>
      </c>
      <c r="K17" t="s">
        <v>60</v>
      </c>
      <c r="L17" t="s">
        <v>60</v>
      </c>
      <c r="M17" t="s">
        <v>60</v>
      </c>
      <c r="N17" t="s">
        <v>60</v>
      </c>
      <c r="O17" t="s">
        <v>60</v>
      </c>
      <c r="P17" t="s">
        <v>60</v>
      </c>
      <c r="Q17" t="s">
        <v>60</v>
      </c>
      <c r="R17" t="s">
        <v>60</v>
      </c>
      <c r="S17" t="s">
        <v>90</v>
      </c>
      <c r="T17" t="s">
        <v>441</v>
      </c>
      <c r="U17" t="s">
        <v>60</v>
      </c>
      <c r="V17" t="s">
        <v>60</v>
      </c>
      <c r="W17" t="s">
        <v>60</v>
      </c>
      <c r="X17" t="s">
        <v>60</v>
      </c>
      <c r="Y17" t="s">
        <v>59</v>
      </c>
      <c r="Z17" t="s">
        <v>60</v>
      </c>
      <c r="AA17" t="s">
        <v>60</v>
      </c>
      <c r="AB17" t="s">
        <v>60</v>
      </c>
      <c r="AC17" t="s">
        <v>60</v>
      </c>
      <c r="AD17" t="s">
        <v>60</v>
      </c>
      <c r="AE17" t="s">
        <v>60</v>
      </c>
      <c r="AF17" t="s">
        <v>60</v>
      </c>
      <c r="AG17" t="s">
        <v>60</v>
      </c>
      <c r="AH17" t="s">
        <v>60</v>
      </c>
      <c r="AI17" t="s">
        <v>60</v>
      </c>
      <c r="AJ17" t="s">
        <v>60</v>
      </c>
      <c r="AK17" t="s">
        <v>60</v>
      </c>
      <c r="AL17" t="s">
        <v>60</v>
      </c>
      <c r="AM17" t="s">
        <v>57</v>
      </c>
      <c r="AN17" t="s">
        <v>581</v>
      </c>
      <c r="AO17" t="s">
        <v>60</v>
      </c>
      <c r="AP17" t="s">
        <v>60</v>
      </c>
      <c r="AQ17" t="s">
        <v>60</v>
      </c>
      <c r="AR17" t="s">
        <v>60</v>
      </c>
      <c r="AS17" t="s">
        <v>60</v>
      </c>
      <c r="AT17" t="s">
        <v>569</v>
      </c>
      <c r="AU17" t="s">
        <v>569</v>
      </c>
      <c r="AV17" t="s">
        <v>570</v>
      </c>
      <c r="AW17" t="s">
        <v>571</v>
      </c>
      <c r="AX17" t="s">
        <v>572</v>
      </c>
      <c r="AY17" t="s">
        <v>60</v>
      </c>
      <c r="AZ17" t="s">
        <v>60</v>
      </c>
      <c r="BA17" t="s">
        <v>304</v>
      </c>
      <c r="BB17" t="s">
        <v>239</v>
      </c>
      <c r="BC17" t="s">
        <v>559</v>
      </c>
      <c r="BD17" t="s">
        <v>60</v>
      </c>
      <c r="BE17" t="s">
        <v>60</v>
      </c>
      <c r="BF17" t="s">
        <v>60</v>
      </c>
      <c r="BG17" t="s">
        <v>60</v>
      </c>
      <c r="BH17" t="s">
        <v>60</v>
      </c>
    </row>
    <row r="18" spans="1:60" x14ac:dyDescent="0.25">
      <c r="A18">
        <v>794</v>
      </c>
      <c r="B18" t="s">
        <v>391</v>
      </c>
      <c r="C18" t="s">
        <v>325</v>
      </c>
      <c r="D18" t="s">
        <v>192</v>
      </c>
      <c r="E18" t="s">
        <v>55</v>
      </c>
      <c r="F18" t="s">
        <v>168</v>
      </c>
      <c r="G18" t="s">
        <v>56</v>
      </c>
      <c r="H18" t="s">
        <v>57</v>
      </c>
      <c r="I18" t="s">
        <v>58</v>
      </c>
      <c r="J18" s="2">
        <v>45207</v>
      </c>
      <c r="K18" t="s">
        <v>135</v>
      </c>
      <c r="L18" t="s">
        <v>326</v>
      </c>
      <c r="M18" t="s">
        <v>372</v>
      </c>
      <c r="N18" t="s">
        <v>373</v>
      </c>
      <c r="O18" t="s">
        <v>60</v>
      </c>
      <c r="P18" t="s">
        <v>60</v>
      </c>
      <c r="Q18" t="s">
        <v>60</v>
      </c>
      <c r="R18" t="s">
        <v>60</v>
      </c>
      <c r="S18" t="s">
        <v>90</v>
      </c>
      <c r="T18" t="s">
        <v>327</v>
      </c>
      <c r="U18" t="s">
        <v>233</v>
      </c>
      <c r="V18" t="s">
        <v>328</v>
      </c>
      <c r="W18" t="s">
        <v>60</v>
      </c>
      <c r="X18" t="s">
        <v>60</v>
      </c>
      <c r="Y18" t="s">
        <v>59</v>
      </c>
      <c r="Z18" t="s">
        <v>550</v>
      </c>
      <c r="AA18" t="s">
        <v>60</v>
      </c>
      <c r="AB18" t="s">
        <v>60</v>
      </c>
      <c r="AC18" t="s">
        <v>60</v>
      </c>
      <c r="AD18" t="s">
        <v>60</v>
      </c>
      <c r="AE18" t="s">
        <v>60</v>
      </c>
      <c r="AF18" t="s">
        <v>60</v>
      </c>
      <c r="AG18" t="s">
        <v>372</v>
      </c>
      <c r="AH18" t="s">
        <v>458</v>
      </c>
      <c r="AI18" t="s">
        <v>167</v>
      </c>
      <c r="AJ18" t="s">
        <v>459</v>
      </c>
      <c r="AK18" t="s">
        <v>167</v>
      </c>
      <c r="AL18" t="s">
        <v>434</v>
      </c>
      <c r="AM18" t="s">
        <v>60</v>
      </c>
      <c r="AN18" t="s">
        <v>60</v>
      </c>
      <c r="AO18" t="s">
        <v>60</v>
      </c>
      <c r="AP18" t="s">
        <v>60</v>
      </c>
      <c r="AQ18" t="s">
        <v>60</v>
      </c>
      <c r="AR18" t="s">
        <v>60</v>
      </c>
      <c r="AS18" t="s">
        <v>60</v>
      </c>
      <c r="AT18" t="s">
        <v>546</v>
      </c>
      <c r="AU18" t="s">
        <v>546</v>
      </c>
      <c r="AV18" t="s">
        <v>547</v>
      </c>
      <c r="AW18" t="s">
        <v>548</v>
      </c>
      <c r="AX18" t="s">
        <v>549</v>
      </c>
      <c r="AY18" t="s">
        <v>121</v>
      </c>
      <c r="AZ18" t="s">
        <v>573</v>
      </c>
      <c r="BA18" t="s">
        <v>60</v>
      </c>
      <c r="BB18" t="s">
        <v>60</v>
      </c>
      <c r="BC18" t="s">
        <v>60</v>
      </c>
      <c r="BD18" t="s">
        <v>60</v>
      </c>
      <c r="BE18" t="s">
        <v>60</v>
      </c>
      <c r="BF18" t="s">
        <v>60</v>
      </c>
      <c r="BG18" t="s">
        <v>60</v>
      </c>
      <c r="BH18" t="s">
        <v>551</v>
      </c>
    </row>
    <row r="19" spans="1:60" x14ac:dyDescent="0.25">
      <c r="A19">
        <v>667</v>
      </c>
      <c r="B19" t="s">
        <v>170</v>
      </c>
      <c r="C19" t="s">
        <v>348</v>
      </c>
      <c r="D19" t="s">
        <v>192</v>
      </c>
      <c r="E19" t="s">
        <v>55</v>
      </c>
      <c r="F19" t="s">
        <v>168</v>
      </c>
      <c r="G19" t="s">
        <v>56</v>
      </c>
      <c r="H19" t="s">
        <v>57</v>
      </c>
      <c r="I19" t="s">
        <v>58</v>
      </c>
      <c r="J19" s="2">
        <v>45207</v>
      </c>
      <c r="K19" t="s">
        <v>60</v>
      </c>
      <c r="L19" t="s">
        <v>60</v>
      </c>
      <c r="M19" t="s">
        <v>169</v>
      </c>
      <c r="N19" t="s">
        <v>326</v>
      </c>
      <c r="O19" t="s">
        <v>60</v>
      </c>
      <c r="P19" t="s">
        <v>60</v>
      </c>
      <c r="Q19" t="s">
        <v>60</v>
      </c>
      <c r="R19" t="s">
        <v>60</v>
      </c>
      <c r="S19" t="s">
        <v>90</v>
      </c>
      <c r="T19" t="s">
        <v>327</v>
      </c>
      <c r="U19" t="s">
        <v>233</v>
      </c>
      <c r="V19" t="s">
        <v>328</v>
      </c>
      <c r="W19" t="s">
        <v>135</v>
      </c>
      <c r="X19" t="s">
        <v>332</v>
      </c>
      <c r="Y19" t="s">
        <v>59</v>
      </c>
      <c r="Z19" t="s">
        <v>191</v>
      </c>
      <c r="AA19" t="s">
        <v>60</v>
      </c>
      <c r="AB19" t="s">
        <v>60</v>
      </c>
      <c r="AC19" t="s">
        <v>60</v>
      </c>
      <c r="AD19" t="s">
        <v>60</v>
      </c>
      <c r="AE19" t="s">
        <v>60</v>
      </c>
      <c r="AF19" t="s">
        <v>60</v>
      </c>
      <c r="AG19" t="s">
        <v>169</v>
      </c>
      <c r="AH19" t="s">
        <v>330</v>
      </c>
      <c r="AI19" t="s">
        <v>133</v>
      </c>
      <c r="AJ19" t="s">
        <v>331</v>
      </c>
      <c r="AK19" t="s">
        <v>431</v>
      </c>
      <c r="AL19" t="s">
        <v>432</v>
      </c>
      <c r="AM19" t="s">
        <v>60</v>
      </c>
      <c r="AN19" t="s">
        <v>60</v>
      </c>
      <c r="AO19" t="s">
        <v>60</v>
      </c>
      <c r="AP19" t="s">
        <v>60</v>
      </c>
      <c r="AQ19" t="s">
        <v>60</v>
      </c>
      <c r="AR19" t="s">
        <v>60</v>
      </c>
      <c r="AS19" t="s">
        <v>60</v>
      </c>
      <c r="AT19" t="s">
        <v>517</v>
      </c>
      <c r="AU19" t="s">
        <v>517</v>
      </c>
      <c r="AV19" t="s">
        <v>552</v>
      </c>
      <c r="AW19" t="s">
        <v>553</v>
      </c>
      <c r="AX19" t="s">
        <v>520</v>
      </c>
      <c r="AY19" t="s">
        <v>121</v>
      </c>
      <c r="AZ19" t="s">
        <v>566</v>
      </c>
      <c r="BA19" t="s">
        <v>60</v>
      </c>
      <c r="BB19" t="s">
        <v>60</v>
      </c>
      <c r="BC19" t="s">
        <v>60</v>
      </c>
      <c r="BD19" t="s">
        <v>60</v>
      </c>
      <c r="BE19" t="s">
        <v>60</v>
      </c>
      <c r="BF19" t="s">
        <v>60</v>
      </c>
      <c r="BG19" t="s">
        <v>60</v>
      </c>
      <c r="BH19" t="s">
        <v>335</v>
      </c>
    </row>
    <row r="20" spans="1:60" x14ac:dyDescent="0.25">
      <c r="A20">
        <v>836</v>
      </c>
      <c r="B20" t="s">
        <v>393</v>
      </c>
      <c r="C20" t="s">
        <v>178</v>
      </c>
      <c r="D20" t="s">
        <v>192</v>
      </c>
      <c r="E20" t="s">
        <v>55</v>
      </c>
      <c r="F20" t="s">
        <v>392</v>
      </c>
      <c r="G20" t="s">
        <v>56</v>
      </c>
      <c r="H20" t="s">
        <v>57</v>
      </c>
      <c r="I20" t="s">
        <v>58</v>
      </c>
      <c r="J20" s="2">
        <v>45207</v>
      </c>
      <c r="K20" t="s">
        <v>90</v>
      </c>
      <c r="L20" t="s">
        <v>460</v>
      </c>
      <c r="M20" t="s">
        <v>60</v>
      </c>
      <c r="N20" t="s">
        <v>60</v>
      </c>
      <c r="O20" t="s">
        <v>60</v>
      </c>
      <c r="P20" t="s">
        <v>60</v>
      </c>
      <c r="Q20" t="s">
        <v>60</v>
      </c>
      <c r="R20" t="s">
        <v>60</v>
      </c>
      <c r="S20" t="s">
        <v>60</v>
      </c>
      <c r="T20" t="s">
        <v>60</v>
      </c>
      <c r="U20" t="s">
        <v>461</v>
      </c>
      <c r="V20" t="s">
        <v>462</v>
      </c>
      <c r="W20" t="s">
        <v>60</v>
      </c>
      <c r="X20" t="s">
        <v>60</v>
      </c>
      <c r="Y20" t="s">
        <v>59</v>
      </c>
      <c r="Z20" t="s">
        <v>90</v>
      </c>
      <c r="AA20" t="s">
        <v>60</v>
      </c>
      <c r="AB20" t="s">
        <v>60</v>
      </c>
      <c r="AC20" t="s">
        <v>60</v>
      </c>
      <c r="AD20" t="s">
        <v>60</v>
      </c>
      <c r="AE20" t="s">
        <v>60</v>
      </c>
      <c r="AF20" t="s">
        <v>60</v>
      </c>
      <c r="AG20" t="s">
        <v>60</v>
      </c>
      <c r="AH20" t="s">
        <v>60</v>
      </c>
      <c r="AI20" t="s">
        <v>60</v>
      </c>
      <c r="AJ20" t="s">
        <v>60</v>
      </c>
      <c r="AK20" t="s">
        <v>57</v>
      </c>
      <c r="AL20" t="s">
        <v>463</v>
      </c>
      <c r="AM20" t="s">
        <v>60</v>
      </c>
      <c r="AN20" t="s">
        <v>60</v>
      </c>
      <c r="AO20" t="s">
        <v>60</v>
      </c>
      <c r="AP20" t="s">
        <v>60</v>
      </c>
      <c r="AQ20" t="s">
        <v>60</v>
      </c>
      <c r="AR20" t="s">
        <v>60</v>
      </c>
      <c r="AS20" t="s">
        <v>60</v>
      </c>
      <c r="AT20" t="s">
        <v>574</v>
      </c>
      <c r="AU20" t="s">
        <v>574</v>
      </c>
      <c r="AV20" t="s">
        <v>575</v>
      </c>
      <c r="AW20" t="s">
        <v>576</v>
      </c>
      <c r="AX20" t="s">
        <v>577</v>
      </c>
      <c r="AY20" t="s">
        <v>121</v>
      </c>
      <c r="AZ20" t="s">
        <v>578</v>
      </c>
      <c r="BA20" t="s">
        <v>60</v>
      </c>
      <c r="BB20" t="s">
        <v>60</v>
      </c>
      <c r="BC20" t="s">
        <v>60</v>
      </c>
      <c r="BD20" t="s">
        <v>60</v>
      </c>
      <c r="BE20" t="s">
        <v>60</v>
      </c>
      <c r="BF20" t="s">
        <v>60</v>
      </c>
      <c r="BG20" t="s">
        <v>60</v>
      </c>
      <c r="BH20" t="s">
        <v>579</v>
      </c>
    </row>
    <row r="21" spans="1:60" x14ac:dyDescent="0.25">
      <c r="A21">
        <v>115</v>
      </c>
      <c r="B21" t="s">
        <v>298</v>
      </c>
      <c r="C21" t="s">
        <v>293</v>
      </c>
      <c r="D21" t="s">
        <v>192</v>
      </c>
      <c r="E21" t="s">
        <v>55</v>
      </c>
      <c r="F21" t="s">
        <v>168</v>
      </c>
      <c r="G21" t="s">
        <v>56</v>
      </c>
      <c r="H21" t="s">
        <v>57</v>
      </c>
      <c r="I21" t="s">
        <v>58</v>
      </c>
      <c r="J21" s="2">
        <v>45207</v>
      </c>
      <c r="K21" t="s">
        <v>135</v>
      </c>
      <c r="L21" t="s">
        <v>326</v>
      </c>
      <c r="M21" t="s">
        <v>372</v>
      </c>
      <c r="N21" t="s">
        <v>373</v>
      </c>
      <c r="O21" t="s">
        <v>60</v>
      </c>
      <c r="P21" t="s">
        <v>60</v>
      </c>
      <c r="Q21" t="s">
        <v>60</v>
      </c>
      <c r="R21" t="s">
        <v>60</v>
      </c>
      <c r="S21" t="s">
        <v>464</v>
      </c>
      <c r="T21" t="s">
        <v>465</v>
      </c>
      <c r="U21" t="s">
        <v>233</v>
      </c>
      <c r="V21" t="s">
        <v>328</v>
      </c>
      <c r="W21" t="s">
        <v>60</v>
      </c>
      <c r="X21" t="s">
        <v>60</v>
      </c>
      <c r="Y21" t="s">
        <v>59</v>
      </c>
      <c r="Z21" t="s">
        <v>550</v>
      </c>
      <c r="AA21" t="s">
        <v>60</v>
      </c>
      <c r="AB21" t="s">
        <v>60</v>
      </c>
      <c r="AC21" t="s">
        <v>60</v>
      </c>
      <c r="AD21" t="s">
        <v>60</v>
      </c>
      <c r="AE21" t="s">
        <v>60</v>
      </c>
      <c r="AF21" t="s">
        <v>60</v>
      </c>
      <c r="AG21" t="s">
        <v>372</v>
      </c>
      <c r="AH21" t="s">
        <v>458</v>
      </c>
      <c r="AI21" t="s">
        <v>167</v>
      </c>
      <c r="AJ21" t="s">
        <v>459</v>
      </c>
      <c r="AK21" t="s">
        <v>167</v>
      </c>
      <c r="AL21" t="s">
        <v>434</v>
      </c>
      <c r="AM21" t="s">
        <v>60</v>
      </c>
      <c r="AN21" t="s">
        <v>60</v>
      </c>
      <c r="AO21" t="s">
        <v>60</v>
      </c>
      <c r="AP21" t="s">
        <v>60</v>
      </c>
      <c r="AQ21" t="s">
        <v>60</v>
      </c>
      <c r="AR21" t="s">
        <v>60</v>
      </c>
      <c r="AS21" t="s">
        <v>60</v>
      </c>
      <c r="AT21" t="s">
        <v>554</v>
      </c>
      <c r="AU21" t="s">
        <v>554</v>
      </c>
      <c r="AV21" t="s">
        <v>555</v>
      </c>
      <c r="AW21" t="s">
        <v>556</v>
      </c>
      <c r="AX21" t="s">
        <v>557</v>
      </c>
      <c r="AY21" t="s">
        <v>121</v>
      </c>
      <c r="AZ21" t="s">
        <v>580</v>
      </c>
      <c r="BA21" t="s">
        <v>60</v>
      </c>
      <c r="BB21" t="s">
        <v>60</v>
      </c>
      <c r="BC21" t="s">
        <v>60</v>
      </c>
      <c r="BD21" t="s">
        <v>60</v>
      </c>
      <c r="BE21" t="s">
        <v>60</v>
      </c>
      <c r="BF21" t="s">
        <v>60</v>
      </c>
      <c r="BG21" t="s">
        <v>60</v>
      </c>
      <c r="BH21" t="s">
        <v>551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BCCF5-DE36-44F3-B3FF-C795C1B2B953}">
  <sheetPr codeName="Sheet6">
    <tabColor theme="9"/>
  </sheetPr>
  <dimension ref="A1:AR12"/>
  <sheetViews>
    <sheetView workbookViewId="0">
      <selection sqref="A1:AR12"/>
    </sheetView>
  </sheetViews>
  <sheetFormatPr defaultRowHeight="15" x14ac:dyDescent="0.25"/>
  <cols>
    <col min="1" max="1" width="20.140625" bestFit="1" customWidth="1"/>
    <col min="2" max="3" width="11.85546875" bestFit="1" customWidth="1"/>
    <col min="4" max="4" width="31" bestFit="1" customWidth="1"/>
    <col min="5" max="5" width="7.140625" bestFit="1" customWidth="1"/>
    <col min="6" max="6" width="11.5703125" bestFit="1" customWidth="1"/>
    <col min="7" max="7" width="14.7109375" bestFit="1" customWidth="1"/>
    <col min="8" max="8" width="10.85546875" style="2" bestFit="1" customWidth="1"/>
    <col min="9" max="9" width="13.5703125" bestFit="1" customWidth="1"/>
    <col min="10" max="10" width="20.7109375" bestFit="1" customWidth="1"/>
    <col min="11" max="11" width="21.42578125" bestFit="1" customWidth="1"/>
    <col min="12" max="12" width="19.140625" bestFit="1" customWidth="1"/>
    <col min="13" max="13" width="20" bestFit="1" customWidth="1"/>
    <col min="14" max="14" width="17.7109375" bestFit="1" customWidth="1"/>
    <col min="15" max="15" width="20.42578125" bestFit="1" customWidth="1"/>
    <col min="16" max="16" width="18.140625" bestFit="1" customWidth="1"/>
    <col min="17" max="17" width="28" bestFit="1" customWidth="1"/>
    <col min="18" max="18" width="25.7109375" bestFit="1" customWidth="1"/>
    <col min="19" max="19" width="18" bestFit="1" customWidth="1"/>
    <col min="20" max="20" width="15.85546875" bestFit="1" customWidth="1"/>
    <col min="21" max="21" width="17" bestFit="1" customWidth="1"/>
    <col min="22" max="22" width="14.7109375" bestFit="1" customWidth="1"/>
    <col min="23" max="23" width="23" bestFit="1" customWidth="1"/>
    <col min="24" max="24" width="20.85546875" bestFit="1" customWidth="1"/>
    <col min="25" max="26" width="13.140625" bestFit="1" customWidth="1"/>
    <col min="27" max="27" width="20" bestFit="1" customWidth="1"/>
    <col min="28" max="28" width="17.7109375" bestFit="1" customWidth="1"/>
    <col min="29" max="29" width="20.42578125" bestFit="1" customWidth="1"/>
    <col min="30" max="30" width="18.140625" bestFit="1" customWidth="1"/>
    <col min="31" max="31" width="20.7109375" bestFit="1" customWidth="1"/>
    <col min="32" max="32" width="18.42578125" bestFit="1" customWidth="1"/>
    <col min="33" max="33" width="18.28515625" bestFit="1" customWidth="1"/>
    <col min="34" max="34" width="16" bestFit="1" customWidth="1"/>
    <col min="35" max="35" width="32.85546875" bestFit="1" customWidth="1"/>
    <col min="36" max="36" width="29.140625" bestFit="1" customWidth="1"/>
    <col min="37" max="37" width="32" bestFit="1" customWidth="1"/>
    <col min="38" max="38" width="27.28515625" bestFit="1" customWidth="1"/>
    <col min="39" max="39" width="32.7109375" bestFit="1" customWidth="1"/>
    <col min="40" max="40" width="28.140625" customWidth="1"/>
    <col min="41" max="41" width="40" bestFit="1" customWidth="1"/>
    <col min="42" max="42" width="36.42578125" bestFit="1" customWidth="1"/>
    <col min="43" max="43" width="26.42578125" bestFit="1" customWidth="1"/>
    <col min="44" max="44" width="24.28515625" bestFit="1" customWidth="1"/>
    <col min="45" max="45" width="40" bestFit="1" customWidth="1"/>
    <col min="46" max="46" width="36.42578125" bestFit="1" customWidth="1"/>
    <col min="47" max="47" width="33.140625" bestFit="1" customWidth="1"/>
    <col min="48" max="48" width="15.42578125" bestFit="1" customWidth="1"/>
    <col min="49" max="49" width="26.42578125" bestFit="1" customWidth="1"/>
    <col min="50" max="50" width="24.28515625" bestFit="1" customWidth="1"/>
    <col min="51" max="51" width="32.85546875" bestFit="1" customWidth="1"/>
    <col min="52" max="52" width="29.140625" bestFit="1" customWidth="1"/>
    <col min="53" max="53" width="32" bestFit="1" customWidth="1"/>
    <col min="54" max="54" width="27.28515625" bestFit="1" customWidth="1"/>
    <col min="55" max="55" width="32.7109375" bestFit="1" customWidth="1"/>
    <col min="56" max="56" width="28.140625" bestFit="1" customWidth="1"/>
    <col min="57" max="57" width="26.42578125" bestFit="1" customWidth="1"/>
    <col min="58" max="58" width="24.28515625" bestFit="1" customWidth="1"/>
    <col min="59" max="59" width="33.140625" bestFit="1" customWidth="1"/>
    <col min="60" max="60" width="15.42578125" bestFit="1" customWidth="1"/>
    <col min="61" max="61" width="13.140625" bestFit="1" customWidth="1"/>
    <col min="62" max="62" width="8.5703125" bestFit="1" customWidth="1"/>
    <col min="63" max="63" width="17.28515625" bestFit="1" customWidth="1"/>
    <col min="64" max="64" width="11.140625" bestFit="1" customWidth="1"/>
    <col min="65" max="65" width="7.5703125" bestFit="1" customWidth="1"/>
    <col min="66" max="66" width="17.5703125" bestFit="1" customWidth="1"/>
    <col min="67" max="67" width="26.42578125" bestFit="1" customWidth="1"/>
    <col min="68" max="68" width="24.28515625" bestFit="1" customWidth="1"/>
    <col min="69" max="69" width="40" bestFit="1" customWidth="1"/>
    <col min="70" max="70" width="36.42578125" bestFit="1" customWidth="1"/>
    <col min="71" max="71" width="33.140625" bestFit="1" customWidth="1"/>
    <col min="72" max="72" width="15.42578125" bestFit="1" customWidth="1"/>
    <col min="73" max="73" width="26.42578125" bestFit="1" customWidth="1"/>
    <col min="74" max="74" width="24.28515625" bestFit="1" customWidth="1"/>
    <col min="75" max="75" width="26.42578125" bestFit="1" customWidth="1"/>
    <col min="76" max="76" width="24.28515625" bestFit="1" customWidth="1"/>
    <col min="77" max="77" width="32" bestFit="1" customWidth="1"/>
    <col min="78" max="78" width="27.28515625" bestFit="1" customWidth="1"/>
    <col min="79" max="79" width="32.7109375" bestFit="1" customWidth="1"/>
    <col min="80" max="80" width="28.140625" bestFit="1" customWidth="1"/>
    <col min="81" max="81" width="26.42578125" bestFit="1" customWidth="1"/>
    <col min="82" max="82" width="24.28515625" bestFit="1" customWidth="1"/>
    <col min="83" max="83" width="32" bestFit="1" customWidth="1"/>
    <col min="84" max="84" width="27.28515625" bestFit="1" customWidth="1"/>
    <col min="85" max="85" width="32.7109375" bestFit="1" customWidth="1"/>
    <col min="86" max="86" width="28.140625" bestFit="1" customWidth="1"/>
    <col min="87" max="87" width="26.42578125" bestFit="1" customWidth="1"/>
    <col min="88" max="89" width="24.28515625" bestFit="1" customWidth="1"/>
    <col min="90" max="90" width="32.28515625" bestFit="1" customWidth="1"/>
    <col min="91" max="91" width="32.85546875" bestFit="1" customWidth="1"/>
    <col min="92" max="92" width="29.140625" bestFit="1" customWidth="1"/>
    <col min="93" max="93" width="32" customWidth="1"/>
    <col min="94" max="94" width="26.42578125" bestFit="1" customWidth="1"/>
    <col min="95" max="95" width="24.28515625" bestFit="1" customWidth="1"/>
    <col min="96" max="96" width="27.28515625" bestFit="1" customWidth="1"/>
    <col min="97" max="97" width="32.7109375" bestFit="1" customWidth="1"/>
    <col min="98" max="98" width="28.140625" bestFit="1" customWidth="1"/>
    <col min="99" max="99" width="33.140625" bestFit="1" customWidth="1"/>
    <col min="100" max="100" width="26.42578125" bestFit="1" customWidth="1"/>
    <col min="101" max="101" width="24.28515625" bestFit="1" customWidth="1"/>
    <col min="102" max="102" width="26.42578125" bestFit="1" customWidth="1"/>
    <col min="103" max="103" width="24.28515625" bestFit="1" customWidth="1"/>
    <col min="104" max="104" width="26.42578125" bestFit="1" customWidth="1"/>
    <col min="105" max="105" width="24.28515625" bestFit="1" customWidth="1"/>
    <col min="106" max="106" width="15.42578125" bestFit="1" customWidth="1"/>
    <col min="107" max="107" width="13.140625" bestFit="1" customWidth="1"/>
    <col min="108" max="108" width="26.42578125" bestFit="1" customWidth="1"/>
    <col min="109" max="109" width="24.28515625" bestFit="1" customWidth="1"/>
    <col min="110" max="110" width="29.140625" bestFit="1" customWidth="1"/>
    <col min="111" max="111" width="32" bestFit="1" customWidth="1"/>
    <col min="112" max="112" width="27.28515625" bestFit="1" customWidth="1"/>
    <col min="113" max="113" width="33.140625" bestFit="1" customWidth="1"/>
    <col min="114" max="114" width="26.42578125" bestFit="1" customWidth="1"/>
    <col min="115" max="115" width="24.28515625" bestFit="1" customWidth="1"/>
    <col min="116" max="116" width="32.28515625" bestFit="1" customWidth="1"/>
    <col min="117" max="117" width="33.140625" bestFit="1" customWidth="1"/>
    <col min="118" max="118" width="26.42578125" bestFit="1" customWidth="1"/>
    <col min="119" max="119" width="24.28515625" bestFit="1" customWidth="1"/>
    <col min="120" max="120" width="26.42578125" bestFit="1" customWidth="1"/>
    <col min="121" max="121" width="24.28515625" bestFit="1" customWidth="1"/>
    <col min="122" max="122" width="28.7109375" bestFit="1" customWidth="1"/>
    <col min="123" max="123" width="24.140625" bestFit="1" customWidth="1"/>
    <col min="124" max="124" width="36.5703125" bestFit="1" customWidth="1"/>
    <col min="125" max="125" width="30.7109375" bestFit="1" customWidth="1"/>
    <col min="126" max="126" width="26.42578125" bestFit="1" customWidth="1"/>
    <col min="127" max="127" width="24.28515625" bestFit="1" customWidth="1"/>
    <col min="128" max="128" width="26.42578125" bestFit="1" customWidth="1"/>
    <col min="129" max="129" width="24.28515625" bestFit="1" customWidth="1"/>
    <col min="130" max="130" width="13.140625" bestFit="1" customWidth="1"/>
    <col min="131" max="131" width="11.28515625" bestFit="1" customWidth="1"/>
    <col min="132" max="132" width="26.42578125" bestFit="1" customWidth="1"/>
    <col min="133" max="133" width="24.28515625" bestFit="1" customWidth="1"/>
    <col min="134" max="134" width="26.42578125" bestFit="1" customWidth="1"/>
    <col min="135" max="135" width="24.28515625" bestFit="1" customWidth="1"/>
    <col min="136" max="136" width="28.7109375" bestFit="1" customWidth="1"/>
    <col min="137" max="137" width="24.140625" bestFit="1" customWidth="1"/>
    <col min="138" max="138" width="36.5703125" bestFit="1" customWidth="1"/>
    <col min="139" max="139" width="30.7109375" bestFit="1" customWidth="1"/>
    <col min="140" max="140" width="26.42578125" bestFit="1" customWidth="1"/>
    <col min="141" max="141" width="24.28515625" bestFit="1" customWidth="1"/>
    <col min="142" max="142" width="32.28515625" bestFit="1" customWidth="1"/>
    <col min="143" max="143" width="33.140625" bestFit="1" customWidth="1"/>
    <col min="144" max="144" width="13.140625" bestFit="1" customWidth="1"/>
    <col min="145" max="145" width="11.28515625" bestFit="1" customWidth="1"/>
    <col min="146" max="146" width="8.5703125" bestFit="1" customWidth="1"/>
    <col min="147" max="147" width="17.28515625" bestFit="1" customWidth="1"/>
    <col min="148" max="148" width="26.42578125" bestFit="1" customWidth="1"/>
    <col min="149" max="149" width="24.28515625" bestFit="1" customWidth="1"/>
    <col min="150" max="150" width="28.42578125" bestFit="1" customWidth="1"/>
    <col min="151" max="151" width="24.85546875" bestFit="1" customWidth="1"/>
    <col min="152" max="152" width="30.85546875" bestFit="1" customWidth="1"/>
    <col min="153" max="153" width="31.7109375" customWidth="1"/>
    <col min="154" max="154" width="25.42578125" bestFit="1" customWidth="1"/>
    <col min="155" max="155" width="23.28515625" bestFit="1" customWidth="1"/>
    <col min="156" max="156" width="12.7109375" bestFit="1" customWidth="1"/>
    <col min="157" max="157" width="8.42578125" bestFit="1" customWidth="1"/>
    <col min="158" max="158" width="16.5703125" bestFit="1" customWidth="1"/>
    <col min="159" max="159" width="10.7109375" bestFit="1" customWidth="1"/>
    <col min="160" max="160" width="25.42578125" bestFit="1" customWidth="1"/>
    <col min="161" max="161" width="23.28515625" bestFit="1" customWidth="1"/>
    <col min="162" max="162" width="17.5703125" bestFit="1" customWidth="1"/>
    <col min="163" max="163" width="15.42578125" bestFit="1" customWidth="1"/>
    <col min="164" max="164" width="32.140625" bestFit="1" customWidth="1"/>
    <col min="165" max="165" width="28.5703125" bestFit="1" customWidth="1"/>
    <col min="166" max="166" width="27.5703125" bestFit="1" customWidth="1"/>
    <col min="167" max="167" width="23.140625" bestFit="1" customWidth="1"/>
    <col min="168" max="168" width="35" bestFit="1" customWidth="1"/>
    <col min="169" max="169" width="29.42578125" bestFit="1" customWidth="1"/>
    <col min="170" max="170" width="25.42578125" bestFit="1" customWidth="1"/>
    <col min="171" max="171" width="23.28515625" bestFit="1" customWidth="1"/>
    <col min="172" max="172" width="29.5703125" bestFit="1" customWidth="1"/>
    <col min="173" max="173" width="25.85546875" bestFit="1" customWidth="1"/>
    <col min="174" max="174" width="26.42578125" bestFit="1" customWidth="1"/>
    <col min="175" max="175" width="24.28515625" bestFit="1" customWidth="1"/>
    <col min="176" max="176" width="18.28515625" bestFit="1" customWidth="1"/>
    <col min="177" max="177" width="16" customWidth="1"/>
    <col min="178" max="178" width="33.5703125" bestFit="1" customWidth="1"/>
    <col min="179" max="179" width="29.85546875" bestFit="1" customWidth="1"/>
    <col min="180" max="180" width="26.42578125" bestFit="1" customWidth="1"/>
    <col min="181" max="181" width="24.28515625" bestFit="1" customWidth="1"/>
    <col min="182" max="182" width="26.42578125" bestFit="1" customWidth="1"/>
    <col min="183" max="183" width="24.28515625" bestFit="1" customWidth="1"/>
    <col min="184" max="184" width="33.5703125" bestFit="1" customWidth="1"/>
    <col min="185" max="185" width="29.85546875" bestFit="1" customWidth="1"/>
    <col min="186" max="186" width="28.7109375" bestFit="1" customWidth="1"/>
    <col min="187" max="187" width="24.140625" bestFit="1" customWidth="1"/>
    <col min="188" max="188" width="36.5703125" bestFit="1" customWidth="1"/>
    <col min="189" max="189" width="30.7109375" bestFit="1" customWidth="1"/>
    <col min="190" max="190" width="26.42578125" bestFit="1" customWidth="1"/>
    <col min="191" max="191" width="24.28515625" bestFit="1" customWidth="1"/>
    <col min="192" max="192" width="36.5703125" bestFit="1" customWidth="1"/>
    <col min="193" max="193" width="30.7109375" bestFit="1" customWidth="1"/>
    <col min="194" max="194" width="26.42578125" bestFit="1" customWidth="1"/>
    <col min="195" max="195" width="24.28515625" bestFit="1" customWidth="1"/>
    <col min="196" max="196" width="18.28515625" bestFit="1" customWidth="1"/>
    <col min="197" max="197" width="16" bestFit="1" customWidth="1"/>
    <col min="198" max="198" width="33.5703125" bestFit="1" customWidth="1"/>
    <col min="199" max="199" width="29.85546875" customWidth="1"/>
    <col min="200" max="200" width="26.42578125" bestFit="1" customWidth="1"/>
    <col min="201" max="201" width="24.28515625" bestFit="1" customWidth="1"/>
    <col min="202" max="202" width="28.7109375" bestFit="1" customWidth="1"/>
    <col min="203" max="203" width="24.140625" bestFit="1" customWidth="1"/>
    <col min="204" max="204" width="36.5703125" bestFit="1" customWidth="1"/>
    <col min="205" max="205" width="30.7109375" bestFit="1" customWidth="1"/>
    <col min="206" max="206" width="29.5703125" bestFit="1" customWidth="1"/>
    <col min="207" max="207" width="25.85546875" bestFit="1" customWidth="1"/>
    <col min="208" max="208" width="26.42578125" bestFit="1" customWidth="1"/>
    <col min="209" max="209" width="24.28515625" bestFit="1" customWidth="1"/>
    <col min="210" max="210" width="29.5703125" bestFit="1" customWidth="1"/>
    <col min="211" max="211" width="25.85546875" bestFit="1" customWidth="1"/>
    <col min="212" max="212" width="26.42578125" bestFit="1" customWidth="1"/>
    <col min="213" max="213" width="24.28515625" bestFit="1" customWidth="1"/>
    <col min="214" max="214" width="28.7109375" bestFit="1" customWidth="1"/>
    <col min="215" max="215" width="24.140625" bestFit="1" customWidth="1"/>
    <col min="216" max="216" width="26.42578125" bestFit="1" customWidth="1"/>
    <col min="217" max="217" width="24.28515625" bestFit="1" customWidth="1"/>
    <col min="218" max="218" width="26.42578125" bestFit="1" customWidth="1"/>
    <col min="219" max="219" width="24.28515625" bestFit="1" customWidth="1"/>
    <col min="220" max="220" width="29.5703125" bestFit="1" customWidth="1"/>
    <col min="221" max="221" width="25.85546875" bestFit="1" customWidth="1"/>
    <col min="222" max="222" width="33.140625" bestFit="1" customWidth="1"/>
    <col min="223" max="223" width="13.140625" bestFit="1" customWidth="1"/>
    <col min="224" max="224" width="8.5703125" bestFit="1" customWidth="1"/>
    <col min="225" max="225" width="17.28515625" bestFit="1" customWidth="1"/>
    <col min="226" max="226" width="26.42578125" bestFit="1" customWidth="1"/>
    <col min="227" max="227" width="24.28515625" bestFit="1" customWidth="1"/>
    <col min="228" max="228" width="26.42578125" bestFit="1" customWidth="1"/>
    <col min="229" max="229" width="24.28515625" bestFit="1" customWidth="1"/>
    <col min="230" max="230" width="26.42578125" bestFit="1" customWidth="1"/>
    <col min="231" max="231" width="24.28515625" bestFit="1" customWidth="1"/>
    <col min="232" max="232" width="18.28515625" bestFit="1" customWidth="1"/>
    <col min="233" max="233" width="16" bestFit="1" customWidth="1"/>
    <col min="234" max="234" width="33.5703125" bestFit="1" customWidth="1"/>
    <col min="235" max="235" width="29.85546875" bestFit="1" customWidth="1"/>
    <col min="236" max="236" width="28.7109375" bestFit="1" customWidth="1"/>
    <col min="237" max="237" width="24.140625" bestFit="1" customWidth="1"/>
    <col min="238" max="238" width="26.42578125" bestFit="1" customWidth="1"/>
    <col min="239" max="239" width="24.28515625" bestFit="1" customWidth="1"/>
    <col min="240" max="240" width="29.5703125" bestFit="1" customWidth="1"/>
    <col min="241" max="241" width="25.85546875" bestFit="1" customWidth="1"/>
    <col min="242" max="242" width="33.140625" bestFit="1" customWidth="1"/>
    <col min="243" max="243" width="13.140625" bestFit="1" customWidth="1"/>
    <col min="244" max="244" width="8.5703125" bestFit="1" customWidth="1"/>
    <col min="245" max="245" width="17.28515625" bestFit="1" customWidth="1"/>
    <col min="246" max="246" width="26.42578125" bestFit="1" customWidth="1"/>
    <col min="247" max="247" width="24.28515625" bestFit="1" customWidth="1"/>
    <col min="248" max="248" width="20.42578125" bestFit="1" customWidth="1"/>
    <col min="249" max="249" width="18.140625" bestFit="1" customWidth="1"/>
    <col min="250" max="250" width="23" bestFit="1" customWidth="1"/>
    <col min="251" max="251" width="20.85546875" bestFit="1" customWidth="1"/>
    <col min="252" max="252" width="18.28515625" bestFit="1" customWidth="1"/>
    <col min="253" max="253" width="16" bestFit="1" customWidth="1"/>
    <col min="254" max="254" width="33.5703125" bestFit="1" customWidth="1"/>
    <col min="255" max="255" width="29.85546875" customWidth="1"/>
    <col min="256" max="256" width="26.42578125" bestFit="1" customWidth="1"/>
    <col min="257" max="257" width="24.28515625" bestFit="1" customWidth="1"/>
    <col min="258" max="258" width="28.7109375" bestFit="1" customWidth="1"/>
    <col min="259" max="259" width="24.140625" bestFit="1" customWidth="1"/>
    <col min="260" max="260" width="36.5703125" bestFit="1" customWidth="1"/>
    <col min="261" max="261" width="30.7109375" bestFit="1" customWidth="1"/>
    <col min="262" max="262" width="26.42578125" bestFit="1" customWidth="1"/>
    <col min="263" max="263" width="24.28515625" bestFit="1" customWidth="1"/>
    <col min="264" max="264" width="26.42578125" bestFit="1" customWidth="1"/>
    <col min="265" max="265" width="24.28515625" bestFit="1" customWidth="1"/>
    <col min="266" max="266" width="11.140625" bestFit="1" customWidth="1"/>
    <col min="267" max="267" width="7.5703125" bestFit="1" customWidth="1"/>
    <col min="268" max="268" width="17.5703125" bestFit="1" customWidth="1"/>
    <col min="269" max="269" width="21" bestFit="1" customWidth="1"/>
    <col min="270" max="270" width="34.42578125" bestFit="1" customWidth="1"/>
    <col min="271" max="271" width="11.140625" bestFit="1" customWidth="1"/>
    <col min="272" max="272" width="26.42578125" bestFit="1" customWidth="1"/>
    <col min="273" max="273" width="24.28515625" bestFit="1" customWidth="1"/>
    <col min="274" max="274" width="11.140625" bestFit="1" customWidth="1"/>
    <col min="275" max="275" width="6.5703125" bestFit="1" customWidth="1"/>
    <col min="276" max="276" width="17.5703125" bestFit="1" customWidth="1"/>
    <col min="277" max="277" width="21" bestFit="1" customWidth="1"/>
    <col min="278" max="278" width="34.42578125" bestFit="1" customWidth="1"/>
    <col min="279" max="279" width="26.42578125" bestFit="1" customWidth="1"/>
    <col min="280" max="280" width="24.28515625" bestFit="1" customWidth="1"/>
    <col min="281" max="281" width="20.85546875" bestFit="1" customWidth="1"/>
    <col min="282" max="282" width="33.5703125" bestFit="1" customWidth="1"/>
    <col min="283" max="283" width="29.85546875" bestFit="1" customWidth="1"/>
    <col min="284" max="284" width="28.7109375" bestFit="1" customWidth="1"/>
    <col min="285" max="285" width="24.140625" bestFit="1" customWidth="1"/>
    <col min="286" max="286" width="36.5703125" bestFit="1" customWidth="1"/>
    <col min="287" max="287" width="30.7109375" bestFit="1" customWidth="1"/>
    <col min="288" max="288" width="29.5703125" bestFit="1" customWidth="1"/>
    <col min="289" max="289" width="25.85546875" bestFit="1" customWidth="1"/>
    <col min="290" max="290" width="33.140625" bestFit="1" customWidth="1"/>
    <col min="291" max="291" width="13.140625" bestFit="1" customWidth="1"/>
    <col min="292" max="292" width="26.42578125" bestFit="1" customWidth="1"/>
    <col min="293" max="294" width="24.28515625" bestFit="1" customWidth="1"/>
    <col min="295" max="295" width="8.5703125" bestFit="1" customWidth="1"/>
    <col min="296" max="296" width="33.140625" bestFit="1" customWidth="1"/>
    <col min="297" max="297" width="13.140625" bestFit="1" customWidth="1"/>
    <col min="298" max="298" width="11.28515625" bestFit="1" customWidth="1"/>
    <col min="299" max="299" width="26.42578125" bestFit="1" customWidth="1"/>
    <col min="300" max="300" width="17.28515625" bestFit="1" customWidth="1"/>
    <col min="301" max="301" width="11.140625" customWidth="1"/>
    <col min="302" max="302" width="24.28515625" bestFit="1" customWidth="1"/>
    <col min="303" max="303" width="8.28515625" bestFit="1" customWidth="1"/>
    <col min="304" max="304" width="7.5703125" bestFit="1" customWidth="1"/>
    <col min="305" max="305" width="17.5703125" bestFit="1" customWidth="1"/>
    <col min="306" max="306" width="21" bestFit="1" customWidth="1"/>
    <col min="307" max="307" width="34.42578125" bestFit="1" customWidth="1"/>
    <col min="308" max="308" width="24.28515625" bestFit="1" customWidth="1"/>
    <col min="309" max="309" width="8.5703125" bestFit="1" customWidth="1"/>
    <col min="310" max="310" width="11.140625" bestFit="1" customWidth="1"/>
    <col min="311" max="311" width="7.5703125" bestFit="1" customWidth="1"/>
    <col min="312" max="312" width="24.28515625" bestFit="1" customWidth="1"/>
    <col min="313" max="313" width="8.5703125" bestFit="1" customWidth="1"/>
    <col min="314" max="314" width="34.42578125" bestFit="1" customWidth="1"/>
    <col min="315" max="315" width="11.140625" bestFit="1" customWidth="1"/>
    <col min="316" max="316" width="5.28515625" bestFit="1" customWidth="1"/>
    <col min="317" max="317" width="24.28515625" bestFit="1" customWidth="1"/>
    <col min="318" max="318" width="8.5703125" bestFit="1" customWidth="1"/>
    <col min="319" max="319" width="17.28515625" bestFit="1" customWidth="1"/>
    <col min="320" max="320" width="11.140625" bestFit="1" customWidth="1"/>
    <col min="321" max="321" width="7.5703125" customWidth="1"/>
    <col min="322" max="322" width="17.5703125" bestFit="1" customWidth="1"/>
    <col min="323" max="323" width="24.28515625" bestFit="1" customWidth="1"/>
    <col min="324" max="324" width="8.28515625" bestFit="1" customWidth="1"/>
    <col min="325" max="325" width="17.5703125" bestFit="1" customWidth="1"/>
    <col min="326" max="326" width="21" bestFit="1" customWidth="1"/>
    <col min="327" max="327" width="34.42578125" bestFit="1" customWidth="1"/>
    <col min="328" max="328" width="11.140625" customWidth="1"/>
    <col min="329" max="329" width="24.28515625" bestFit="1" customWidth="1"/>
    <col min="330" max="330" width="8.5703125" bestFit="1" customWidth="1"/>
    <col min="331" max="331" width="5.28515625" bestFit="1" customWidth="1"/>
    <col min="332" max="332" width="24.28515625" bestFit="1" customWidth="1"/>
    <col min="333" max="333" width="8.5703125" bestFit="1" customWidth="1"/>
    <col min="334" max="334" width="24.28515625" bestFit="1" customWidth="1"/>
    <col min="335" max="335" width="8.5703125" bestFit="1" customWidth="1"/>
    <col min="336" max="336" width="21" bestFit="1" customWidth="1"/>
    <col min="337" max="337" width="34.42578125" bestFit="1" customWidth="1"/>
    <col min="338" max="338" width="24.28515625" bestFit="1" customWidth="1"/>
    <col min="339" max="339" width="8.5703125" bestFit="1" customWidth="1"/>
    <col min="340" max="340" width="21" bestFit="1" customWidth="1"/>
    <col min="341" max="341" width="34.42578125" bestFit="1" customWidth="1"/>
    <col min="342" max="342" width="24.28515625" bestFit="1" customWidth="1"/>
    <col min="343" max="343" width="8.5703125" bestFit="1" customWidth="1"/>
    <col min="344" max="344" width="21" bestFit="1" customWidth="1"/>
    <col min="345" max="345" width="24.28515625" bestFit="1" customWidth="1"/>
    <col min="346" max="346" width="8.5703125" bestFit="1" customWidth="1"/>
    <col min="347" max="349" width="5.28515625" bestFit="1" customWidth="1"/>
    <col min="350" max="350" width="24.28515625" bestFit="1" customWidth="1"/>
    <col min="351" max="351" width="8.5703125" bestFit="1" customWidth="1"/>
    <col min="352" max="352" width="11.140625" bestFit="1" customWidth="1"/>
    <col min="353" max="353" width="24.28515625" bestFit="1" customWidth="1"/>
    <col min="354" max="354" width="8.28515625" bestFit="1" customWidth="1"/>
    <col min="355" max="355" width="34.42578125" customWidth="1"/>
    <col min="356" max="356" width="24.28515625" bestFit="1" customWidth="1"/>
    <col min="357" max="357" width="8.5703125" bestFit="1" customWidth="1"/>
    <col min="358" max="358" width="11.140625" bestFit="1" customWidth="1"/>
    <col min="359" max="359" width="24.28515625" bestFit="1" customWidth="1"/>
    <col min="360" max="361" width="8.5703125" bestFit="1" customWidth="1"/>
    <col min="362" max="362" width="17.5703125" bestFit="1" customWidth="1"/>
    <col min="363" max="363" width="21" bestFit="1" customWidth="1"/>
    <col min="364" max="364" width="24.28515625" bestFit="1" customWidth="1"/>
    <col min="365" max="365" width="8.5703125" bestFit="1" customWidth="1"/>
    <col min="366" max="366" width="5.28515625" bestFit="1" customWidth="1"/>
    <col min="367" max="367" width="24.28515625" bestFit="1" customWidth="1"/>
    <col min="368" max="368" width="8.5703125" bestFit="1" customWidth="1"/>
    <col min="369" max="369" width="5.28515625" bestFit="1" customWidth="1"/>
    <col min="370" max="370" width="24.28515625" bestFit="1" customWidth="1"/>
    <col min="371" max="371" width="8.5703125" bestFit="1" customWidth="1"/>
    <col min="372" max="372" width="17.5703125" bestFit="1" customWidth="1"/>
    <col min="373" max="373" width="21" bestFit="1" customWidth="1"/>
    <col min="374" max="374" width="34.42578125" customWidth="1"/>
    <col min="375" max="375" width="24.28515625" bestFit="1" customWidth="1"/>
    <col min="376" max="376" width="8.5703125" bestFit="1" customWidth="1"/>
    <col min="377" max="377" width="11.140625" customWidth="1"/>
    <col min="378" max="378" width="5.28515625" bestFit="1" customWidth="1"/>
    <col min="379" max="379" width="33.140625" bestFit="1" customWidth="1"/>
    <col min="380" max="380" width="8.5703125" bestFit="1" customWidth="1"/>
    <col min="381" max="381" width="24.28515625" bestFit="1" customWidth="1"/>
    <col min="382" max="382" width="17.28515625" bestFit="1" customWidth="1"/>
    <col min="383" max="383" width="11.140625" bestFit="1" customWidth="1"/>
    <col min="384" max="384" width="7.5703125" customWidth="1"/>
    <col min="385" max="385" width="33.140625" bestFit="1" customWidth="1"/>
    <col min="386" max="386" width="8.5703125" bestFit="1" customWidth="1"/>
    <col min="387" max="387" width="17.5703125" bestFit="1" customWidth="1"/>
    <col min="388" max="388" width="21" bestFit="1" customWidth="1"/>
    <col min="389" max="389" width="34.42578125" bestFit="1" customWidth="1"/>
    <col min="390" max="390" width="11.140625" bestFit="1" customWidth="1"/>
    <col min="391" max="391" width="33.140625" bestFit="1" customWidth="1"/>
    <col min="392" max="392" width="8.28515625" bestFit="1" customWidth="1"/>
    <col min="393" max="393" width="17.5703125" bestFit="1" customWidth="1"/>
    <col min="394" max="394" width="21" bestFit="1" customWidth="1"/>
    <col min="395" max="395" width="33.140625" bestFit="1" customWidth="1"/>
    <col min="396" max="396" width="8.5703125" bestFit="1" customWidth="1"/>
    <col min="397" max="397" width="33.140625" bestFit="1" customWidth="1"/>
    <col min="398" max="398" width="8.5703125" bestFit="1" customWidth="1"/>
    <col min="399" max="399" width="33.140625" bestFit="1" customWidth="1"/>
    <col min="400" max="400" width="8.5703125" bestFit="1" customWidth="1"/>
    <col min="401" max="402" width="5.28515625" bestFit="1" customWidth="1"/>
    <col min="403" max="403" width="33.140625" bestFit="1" customWidth="1"/>
    <col min="404" max="404" width="8.5703125" bestFit="1" customWidth="1"/>
    <col min="405" max="405" width="11.140625" bestFit="1" customWidth="1"/>
    <col min="406" max="406" width="7.5703125" bestFit="1" customWidth="1"/>
    <col min="407" max="407" width="17.5703125" bestFit="1" customWidth="1"/>
    <col min="408" max="408" width="36.28515625" bestFit="1" customWidth="1"/>
    <col min="409" max="409" width="8.5703125" bestFit="1" customWidth="1"/>
    <col min="410" max="410" width="25.85546875" bestFit="1" customWidth="1"/>
    <col min="411" max="411" width="26.42578125" bestFit="1" customWidth="1"/>
    <col min="412" max="412" width="24.28515625" customWidth="1"/>
    <col min="413" max="413" width="13.140625" bestFit="1" customWidth="1"/>
    <col min="414" max="414" width="33.140625" bestFit="1" customWidth="1"/>
    <col min="415" max="415" width="36.28515625" bestFit="1" customWidth="1"/>
    <col min="416" max="416" width="8.28515625" bestFit="1" customWidth="1"/>
    <col min="417" max="417" width="33.140625" bestFit="1" customWidth="1"/>
    <col min="418" max="418" width="17.28515625" bestFit="1" customWidth="1"/>
    <col min="419" max="419" width="11.140625" bestFit="1" customWidth="1"/>
    <col min="420" max="420" width="36.28515625" bestFit="1" customWidth="1"/>
    <col min="421" max="421" width="8.28515625" bestFit="1" customWidth="1"/>
    <col min="422" max="422" width="19.5703125" bestFit="1" customWidth="1"/>
    <col min="423" max="423" width="32.140625" bestFit="1" customWidth="1"/>
    <col min="424" max="424" width="10.5703125" bestFit="1" customWidth="1"/>
    <col min="425" max="425" width="5.140625" bestFit="1" customWidth="1"/>
    <col min="426" max="426" width="34.28515625" bestFit="1" customWidth="1"/>
    <col min="427" max="427" width="7.85546875" bestFit="1" customWidth="1"/>
    <col min="428" max="428" width="7.5703125" bestFit="1" customWidth="1"/>
    <col min="429" max="429" width="17.5703125" bestFit="1" customWidth="1"/>
    <col min="430" max="430" width="36.28515625" bestFit="1" customWidth="1"/>
    <col min="431" max="431" width="8.5703125" bestFit="1" customWidth="1"/>
    <col min="432" max="432" width="34.42578125" bestFit="1" customWidth="1"/>
    <col min="433" max="433" width="11.140625" bestFit="1" customWidth="1"/>
    <col min="434" max="434" width="5.28515625" bestFit="1" customWidth="1"/>
    <col min="435" max="435" width="36.28515625" bestFit="1" customWidth="1"/>
    <col min="436" max="436" width="8.5703125" bestFit="1" customWidth="1"/>
    <col min="437" max="437" width="29.5703125" bestFit="1" customWidth="1"/>
    <col min="438" max="438" width="25.85546875" bestFit="1" customWidth="1"/>
    <col min="439" max="439" width="26.42578125" bestFit="1" customWidth="1"/>
    <col min="440" max="440" width="24.28515625" bestFit="1" customWidth="1"/>
    <col min="441" max="441" width="13.140625" bestFit="1" customWidth="1"/>
    <col min="442" max="442" width="33.140625" bestFit="1" customWidth="1"/>
    <col min="443" max="443" width="36.28515625" bestFit="1" customWidth="1"/>
    <col min="444" max="444" width="8.5703125" bestFit="1" customWidth="1"/>
    <col min="445" max="445" width="11.140625" bestFit="1" customWidth="1"/>
    <col min="446" max="446" width="7.5703125" bestFit="1" customWidth="1"/>
    <col min="447" max="447" width="17.5703125" bestFit="1" customWidth="1"/>
    <col min="448" max="448" width="21" bestFit="1" customWidth="1"/>
    <col min="449" max="449" width="36.28515625" bestFit="1" customWidth="1"/>
    <col min="450" max="450" width="8.5703125" bestFit="1" customWidth="1"/>
    <col min="451" max="451" width="29.5703125" bestFit="1" customWidth="1"/>
    <col min="452" max="452" width="25.85546875" bestFit="1" customWidth="1"/>
    <col min="453" max="453" width="26.42578125" bestFit="1" customWidth="1"/>
    <col min="454" max="454" width="24.28515625" bestFit="1" customWidth="1"/>
    <col min="455" max="455" width="13.140625" bestFit="1" customWidth="1"/>
    <col min="456" max="456" width="33.140625" bestFit="1" customWidth="1"/>
    <col min="457" max="457" width="36.28515625" bestFit="1" customWidth="1"/>
    <col min="458" max="458" width="8.28515625" bestFit="1" customWidth="1"/>
    <col min="459" max="459" width="30.7109375" bestFit="1" customWidth="1"/>
    <col min="460" max="460" width="11.28515625" bestFit="1" customWidth="1"/>
    <col min="461" max="461" width="33.140625" bestFit="1" customWidth="1"/>
    <col min="462" max="462" width="17.28515625" bestFit="1" customWidth="1"/>
    <col min="463" max="463" width="11.140625" bestFit="1" customWidth="1"/>
    <col min="464" max="464" width="36.28515625" bestFit="1" customWidth="1"/>
    <col min="465" max="465" width="8.5703125" bestFit="1" customWidth="1"/>
    <col min="466" max="466" width="21" bestFit="1" customWidth="1"/>
    <col min="467" max="467" width="34.42578125" bestFit="1" customWidth="1"/>
    <col min="468" max="468" width="36.28515625" bestFit="1" customWidth="1"/>
    <col min="469" max="469" width="8.5703125" bestFit="1" customWidth="1"/>
    <col min="470" max="470" width="36.28515625" bestFit="1" customWidth="1"/>
    <col min="471" max="471" width="8.5703125" bestFit="1" customWidth="1"/>
    <col min="472" max="472" width="17.5703125" bestFit="1" customWidth="1"/>
    <col min="473" max="473" width="36.28515625" bestFit="1" customWidth="1"/>
    <col min="474" max="474" width="8.28515625" bestFit="1" customWidth="1"/>
    <col min="475" max="475" width="11.140625" bestFit="1" customWidth="1"/>
    <col min="476" max="477" width="5.28515625" bestFit="1" customWidth="1"/>
    <col min="478" max="478" width="36.28515625" bestFit="1" customWidth="1"/>
    <col min="479" max="479" width="8.5703125" bestFit="1" customWidth="1"/>
    <col min="480" max="480" width="33.5703125" bestFit="1" customWidth="1"/>
    <col min="481" max="481" width="29.85546875" bestFit="1" customWidth="1"/>
    <col min="482" max="482" width="36.5703125" bestFit="1" customWidth="1"/>
    <col min="483" max="483" width="30.7109375" bestFit="1" customWidth="1"/>
    <col min="484" max="484" width="33.140625" bestFit="1" customWidth="1"/>
    <col min="485" max="485" width="17.28515625" bestFit="1" customWidth="1"/>
    <col min="486" max="486" width="36.28515625" bestFit="1" customWidth="1"/>
    <col min="487" max="487" width="8.28515625" bestFit="1" customWidth="1"/>
    <col min="488" max="488" width="17.5703125" bestFit="1" customWidth="1"/>
    <col min="489" max="489" width="21" bestFit="1" customWidth="1"/>
    <col min="490" max="490" width="34.42578125" bestFit="1" customWidth="1"/>
    <col min="491" max="491" width="11.140625" bestFit="1" customWidth="1"/>
    <col min="492" max="493" width="5.28515625" bestFit="1" customWidth="1"/>
    <col min="494" max="494" width="36.28515625" bestFit="1" customWidth="1"/>
    <col min="495" max="495" width="8.5703125" bestFit="1" customWidth="1"/>
    <col min="496" max="496" width="17.5703125" bestFit="1" customWidth="1"/>
    <col min="497" max="497" width="21" bestFit="1" customWidth="1"/>
    <col min="498" max="498" width="36.28515625" bestFit="1" customWidth="1"/>
    <col min="499" max="499" width="8.28515625" bestFit="1" customWidth="1"/>
    <col min="500" max="500" width="33.140625" bestFit="1" customWidth="1"/>
    <col min="501" max="501" width="17.28515625" bestFit="1" customWidth="1"/>
    <col min="502" max="502" width="11.140625" bestFit="1" customWidth="1"/>
    <col min="503" max="503" width="36.28515625" bestFit="1" customWidth="1"/>
    <col min="504" max="504" width="8.28515625" bestFit="1" customWidth="1"/>
    <col min="505" max="505" width="21" bestFit="1" customWidth="1"/>
    <col min="506" max="506" width="34.42578125" bestFit="1" customWidth="1"/>
    <col min="507" max="507" width="11.140625" bestFit="1" customWidth="1"/>
    <col min="508" max="508" width="36.28515625" bestFit="1" customWidth="1"/>
    <col min="509" max="509" width="8.5703125" bestFit="1" customWidth="1"/>
    <col min="510" max="510" width="36.28515625" bestFit="1" customWidth="1"/>
    <col min="511" max="511" width="8.5703125" bestFit="1" customWidth="1"/>
    <col min="512" max="512" width="11.140625" bestFit="1" customWidth="1"/>
    <col min="513" max="513" width="7.5703125" bestFit="1" customWidth="1"/>
    <col min="514" max="514" width="17.5703125" bestFit="1" customWidth="1"/>
    <col min="515" max="515" width="36.28515625" bestFit="1" customWidth="1"/>
    <col min="516" max="516" width="8.28515625" bestFit="1" customWidth="1"/>
    <col min="517" max="517" width="36.28515625" bestFit="1" customWidth="1"/>
    <col min="518" max="518" width="8.5703125" bestFit="1" customWidth="1"/>
    <col min="519" max="519" width="34.42578125" bestFit="1" customWidth="1"/>
    <col min="520" max="520" width="11.140625" bestFit="1" customWidth="1"/>
    <col min="521" max="522" width="5.28515625" bestFit="1" customWidth="1"/>
    <col min="523" max="523" width="36.28515625" bestFit="1" customWidth="1"/>
    <col min="524" max="524" width="8.5703125" bestFit="1" customWidth="1"/>
    <col min="525" max="525" width="36.28515625" bestFit="1" customWidth="1"/>
    <col min="526" max="526" width="8.28515625" bestFit="1" customWidth="1"/>
    <col min="527" max="527" width="36.28515625" bestFit="1" customWidth="1"/>
    <col min="528" max="528" width="8.28515625" bestFit="1" customWidth="1"/>
    <col min="529" max="529" width="33.140625" bestFit="1" customWidth="1"/>
    <col min="530" max="530" width="17.28515625" bestFit="1" customWidth="1"/>
    <col min="531" max="531" width="11.140625" bestFit="1" customWidth="1"/>
    <col min="532" max="532" width="36.28515625" bestFit="1" customWidth="1"/>
    <col min="533" max="533" width="8.28515625" bestFit="1" customWidth="1"/>
    <col min="534" max="534" width="36.28515625" bestFit="1" customWidth="1"/>
    <col min="535" max="535" width="8.28515625" customWidth="1"/>
    <col min="536" max="536" width="17.28515625" bestFit="1" customWidth="1"/>
    <col min="537" max="537" width="17.5703125" bestFit="1" customWidth="1"/>
    <col min="538" max="538" width="21" bestFit="1" customWidth="1"/>
    <col min="539" max="539" width="34.42578125" bestFit="1" customWidth="1"/>
    <col min="540" max="540" width="11.140625" bestFit="1" customWidth="1"/>
    <col min="541" max="542" width="5.28515625" bestFit="1" customWidth="1"/>
    <col min="543" max="543" width="11.140625" bestFit="1" customWidth="1"/>
    <col min="544" max="544" width="7.5703125" bestFit="1" customWidth="1"/>
    <col min="545" max="545" width="17.5703125" bestFit="1" customWidth="1"/>
    <col min="546" max="546" width="21" bestFit="1" customWidth="1"/>
    <col min="547" max="547" width="11.140625" bestFit="1" customWidth="1"/>
    <col min="548" max="548" width="7.5703125" bestFit="1" customWidth="1"/>
    <col min="549" max="549" width="33.140625" bestFit="1" customWidth="1"/>
    <col min="550" max="550" width="36.28515625" bestFit="1" customWidth="1"/>
    <col min="551" max="551" width="8.5703125" bestFit="1" customWidth="1"/>
    <col min="552" max="552" width="17.28515625" bestFit="1" customWidth="1"/>
    <col min="553" max="553" width="11.140625" bestFit="1" customWidth="1"/>
    <col min="554" max="554" width="7.5703125" customWidth="1"/>
    <col min="555" max="555" width="17.5703125" bestFit="1" customWidth="1"/>
    <col min="556" max="556" width="21" bestFit="1" customWidth="1"/>
    <col min="557" max="557" width="7.5703125" bestFit="1" customWidth="1"/>
    <col min="558" max="558" width="17.5703125" bestFit="1" customWidth="1"/>
    <col min="559" max="559" width="21" bestFit="1" customWidth="1"/>
    <col min="560" max="560" width="8.28515625" bestFit="1" customWidth="1"/>
    <col min="561" max="561" width="17.28515625" bestFit="1" customWidth="1"/>
    <col min="562" max="562" width="11.140625" bestFit="1" customWidth="1"/>
    <col min="563" max="563" width="7.5703125" bestFit="1" customWidth="1"/>
    <col min="564" max="564" width="17.5703125" bestFit="1" customWidth="1"/>
    <col min="565" max="565" width="21" bestFit="1" customWidth="1"/>
    <col min="566" max="566" width="34.42578125" bestFit="1" customWidth="1"/>
    <col min="567" max="567" width="11.140625" bestFit="1" customWidth="1"/>
    <col min="568" max="574" width="5.28515625" bestFit="1" customWidth="1"/>
    <col min="575" max="575" width="11.5703125" bestFit="1" customWidth="1"/>
    <col min="576" max="576" width="31" bestFit="1" customWidth="1"/>
    <col min="577" max="577" width="17.5703125" bestFit="1" customWidth="1"/>
    <col min="578" max="578" width="21" bestFit="1" customWidth="1"/>
    <col min="579" max="579" width="34.42578125" bestFit="1" customWidth="1"/>
    <col min="580" max="580" width="11.140625" bestFit="1" customWidth="1"/>
    <col min="581" max="583" width="5.28515625" bestFit="1" customWidth="1"/>
    <col min="584" max="584" width="11.5703125" bestFit="1" customWidth="1"/>
    <col min="585" max="585" width="31" bestFit="1" customWidth="1"/>
    <col min="586" max="586" width="29.85546875" bestFit="1" customWidth="1"/>
    <col min="587" max="587" width="36.5703125" bestFit="1" customWidth="1"/>
    <col min="588" max="588" width="30.7109375" bestFit="1" customWidth="1"/>
    <col min="589" max="589" width="8.28515625" bestFit="1" customWidth="1"/>
    <col min="590" max="590" width="17.28515625" bestFit="1" customWidth="1"/>
    <col min="591" max="591" width="11.140625" bestFit="1" customWidth="1"/>
    <col min="592" max="592" width="7.5703125" bestFit="1" customWidth="1"/>
    <col min="593" max="593" width="17.5703125" bestFit="1" customWidth="1"/>
    <col min="594" max="594" width="21" bestFit="1" customWidth="1"/>
    <col min="595" max="595" width="34.42578125" bestFit="1" customWidth="1"/>
    <col min="596" max="596" width="11.140625" bestFit="1" customWidth="1"/>
    <col min="597" max="597" width="33.140625" bestFit="1" customWidth="1"/>
    <col min="598" max="598" width="36.28515625" bestFit="1" customWidth="1"/>
    <col min="599" max="599" width="8.5703125" bestFit="1" customWidth="1"/>
    <col min="600" max="600" width="17.28515625" bestFit="1" customWidth="1"/>
    <col min="601" max="601" width="11.140625" bestFit="1" customWidth="1"/>
    <col min="602" max="602" width="33.140625" bestFit="1" customWidth="1"/>
    <col min="603" max="603" width="36.28515625" bestFit="1" customWidth="1"/>
    <col min="604" max="604" width="33.140625" bestFit="1" customWidth="1"/>
    <col min="605" max="605" width="36.28515625" bestFit="1" customWidth="1"/>
    <col min="606" max="606" width="11.28515625" bestFit="1" customWidth="1"/>
    <col min="607" max="607" width="8.5703125" bestFit="1" customWidth="1"/>
    <col min="608" max="608" width="33.140625" bestFit="1" customWidth="1"/>
    <col min="609" max="609" width="36.28515625" bestFit="1" customWidth="1"/>
    <col min="610" max="610" width="30.7109375" bestFit="1" customWidth="1"/>
    <col min="611" max="611" width="33.140625" bestFit="1" customWidth="1"/>
    <col min="612" max="612" width="36.28515625" customWidth="1"/>
    <col min="613" max="613" width="9" bestFit="1" customWidth="1"/>
    <col min="614" max="614" width="17.28515625" bestFit="1" customWidth="1"/>
    <col min="615" max="615" width="11.140625" bestFit="1" customWidth="1"/>
    <col min="616" max="616" width="8" bestFit="1" customWidth="1"/>
    <col min="617" max="617" width="10.42578125" bestFit="1" customWidth="1"/>
    <col min="618" max="618" width="31" bestFit="1" customWidth="1"/>
    <col min="619" max="619" width="11.5703125" bestFit="1" customWidth="1"/>
    <col min="620" max="620" width="14.7109375" bestFit="1" customWidth="1"/>
    <col min="621" max="621" width="13.5703125" bestFit="1" customWidth="1"/>
    <col min="622" max="622" width="35.140625" bestFit="1" customWidth="1"/>
    <col min="623" max="623" width="15.85546875" bestFit="1" customWidth="1"/>
    <col min="624" max="624" width="18.42578125" bestFit="1" customWidth="1"/>
    <col min="625" max="625" width="11.28515625" bestFit="1" customWidth="1"/>
    <col min="626" max="627" width="11.140625" bestFit="1" customWidth="1"/>
    <col min="628" max="628" width="16" bestFit="1" customWidth="1"/>
    <col min="629" max="629" width="15.28515625" bestFit="1" customWidth="1"/>
    <col min="630" max="630" width="13.7109375" bestFit="1" customWidth="1"/>
    <col min="631" max="631" width="19.140625" bestFit="1" customWidth="1"/>
    <col min="632" max="632" width="16.85546875" bestFit="1" customWidth="1"/>
    <col min="633" max="633" width="17.7109375" bestFit="1" customWidth="1"/>
    <col min="634" max="634" width="15.42578125" bestFit="1" customWidth="1"/>
    <col min="635" max="635" width="14.7109375" bestFit="1" customWidth="1"/>
    <col min="636" max="636" width="12.42578125" bestFit="1" customWidth="1"/>
    <col min="637" max="637" width="20.7109375" bestFit="1" customWidth="1"/>
    <col min="638" max="638" width="18.5703125" bestFit="1" customWidth="1"/>
    <col min="639" max="639" width="19.42578125" bestFit="1" customWidth="1"/>
    <col min="640" max="640" width="17.28515625" bestFit="1" customWidth="1"/>
    <col min="641" max="641" width="22" bestFit="1" customWidth="1"/>
    <col min="642" max="642" width="19.7109375" bestFit="1" customWidth="1"/>
    <col min="643" max="643" width="27.42578125" bestFit="1" customWidth="1"/>
    <col min="644" max="644" width="25.140625" bestFit="1" customWidth="1"/>
    <col min="645" max="645" width="36" bestFit="1" customWidth="1"/>
    <col min="646" max="646" width="27.42578125" bestFit="1" customWidth="1"/>
    <col min="647" max="647" width="34.28515625" bestFit="1" customWidth="1"/>
    <col min="648" max="648" width="28.42578125" bestFit="1" customWidth="1"/>
    <col min="649" max="649" width="40.85546875" bestFit="1" customWidth="1"/>
    <col min="650" max="650" width="34" bestFit="1" customWidth="1"/>
    <col min="651" max="651" width="30.85546875" bestFit="1" customWidth="1"/>
    <col min="652" max="652" width="12.140625" bestFit="1" customWidth="1"/>
    <col min="653" max="653" width="15" bestFit="1" customWidth="1"/>
    <col min="654" max="655" width="12.140625" bestFit="1" customWidth="1"/>
    <col min="656" max="656" width="15.140625" bestFit="1" customWidth="1"/>
    <col min="657" max="657" width="18.7109375" bestFit="1" customWidth="1"/>
    <col min="658" max="658" width="31.5703125" bestFit="1" customWidth="1"/>
  </cols>
  <sheetData>
    <row r="1" spans="1:44" x14ac:dyDescent="0.25">
      <c r="A1" t="s">
        <v>0</v>
      </c>
      <c r="B1" t="s">
        <v>36</v>
      </c>
      <c r="C1" t="s">
        <v>37</v>
      </c>
      <c r="D1" t="s">
        <v>11</v>
      </c>
      <c r="E1" t="s">
        <v>17</v>
      </c>
      <c r="F1" t="s">
        <v>39</v>
      </c>
      <c r="G1" t="s">
        <v>40</v>
      </c>
      <c r="H1" s="2" t="s">
        <v>38</v>
      </c>
      <c r="I1" t="s">
        <v>12</v>
      </c>
      <c r="J1" t="s">
        <v>47</v>
      </c>
      <c r="K1" t="s">
        <v>124</v>
      </c>
      <c r="L1" t="s">
        <v>125</v>
      </c>
      <c r="M1" t="s">
        <v>126</v>
      </c>
      <c r="N1" t="s">
        <v>127</v>
      </c>
      <c r="O1" t="s">
        <v>418</v>
      </c>
      <c r="P1" t="s">
        <v>419</v>
      </c>
      <c r="Q1" t="s">
        <v>420</v>
      </c>
      <c r="R1" t="s">
        <v>421</v>
      </c>
      <c r="S1" t="s">
        <v>366</v>
      </c>
      <c r="T1" t="s">
        <v>367</v>
      </c>
      <c r="U1" t="s">
        <v>128</v>
      </c>
      <c r="V1" t="s">
        <v>129</v>
      </c>
      <c r="W1" t="s">
        <v>163</v>
      </c>
      <c r="X1" t="s">
        <v>164</v>
      </c>
      <c r="Y1" t="s">
        <v>48</v>
      </c>
      <c r="Z1" t="s">
        <v>49</v>
      </c>
      <c r="AA1" t="s">
        <v>130</v>
      </c>
      <c r="AB1" t="s">
        <v>131</v>
      </c>
      <c r="AC1" t="s">
        <v>165</v>
      </c>
      <c r="AD1" t="s">
        <v>166</v>
      </c>
      <c r="AE1" t="s">
        <v>422</v>
      </c>
      <c r="AF1" t="s">
        <v>423</v>
      </c>
      <c r="AG1" t="s">
        <v>50</v>
      </c>
      <c r="AH1" t="s">
        <v>51</v>
      </c>
      <c r="AI1" t="s">
        <v>240</v>
      </c>
      <c r="AJ1" t="s">
        <v>241</v>
      </c>
      <c r="AK1" t="s">
        <v>242</v>
      </c>
      <c r="AL1" t="s">
        <v>243</v>
      </c>
      <c r="AM1" t="s">
        <v>262</v>
      </c>
      <c r="AN1" t="s">
        <v>263</v>
      </c>
      <c r="AO1" t="s">
        <v>299</v>
      </c>
      <c r="AP1" t="s">
        <v>300</v>
      </c>
      <c r="AQ1" t="s">
        <v>61</v>
      </c>
      <c r="AR1" t="s">
        <v>62</v>
      </c>
    </row>
    <row r="2" spans="1:44" x14ac:dyDescent="0.25">
      <c r="A2">
        <v>631</v>
      </c>
      <c r="B2" t="s">
        <v>266</v>
      </c>
      <c r="C2" t="s">
        <v>182</v>
      </c>
      <c r="D2" t="s">
        <v>14</v>
      </c>
      <c r="E2">
        <v>9</v>
      </c>
      <c r="F2">
        <v>2.48</v>
      </c>
      <c r="G2">
        <v>22.32</v>
      </c>
      <c r="H2" s="2">
        <v>45207</v>
      </c>
      <c r="I2" t="s">
        <v>265</v>
      </c>
      <c r="J2" t="s">
        <v>55</v>
      </c>
      <c r="K2" t="s">
        <v>135</v>
      </c>
      <c r="L2" t="s">
        <v>326</v>
      </c>
      <c r="M2" t="s">
        <v>428</v>
      </c>
      <c r="N2" t="s">
        <v>429</v>
      </c>
      <c r="O2" t="s">
        <v>60</v>
      </c>
      <c r="P2" t="s">
        <v>60</v>
      </c>
      <c r="Q2" t="s">
        <v>60</v>
      </c>
      <c r="R2" t="s">
        <v>60</v>
      </c>
      <c r="S2" t="s">
        <v>90</v>
      </c>
      <c r="T2" t="s">
        <v>327</v>
      </c>
      <c r="U2" t="s">
        <v>233</v>
      </c>
      <c r="V2" t="s">
        <v>328</v>
      </c>
      <c r="W2" t="s">
        <v>60</v>
      </c>
      <c r="X2" t="s">
        <v>60</v>
      </c>
      <c r="Y2" t="s">
        <v>56</v>
      </c>
      <c r="Z2" t="s">
        <v>57</v>
      </c>
      <c r="AA2" t="s">
        <v>60</v>
      </c>
      <c r="AB2" t="s">
        <v>60</v>
      </c>
      <c r="AC2" t="s">
        <v>60</v>
      </c>
      <c r="AD2" t="s">
        <v>60</v>
      </c>
      <c r="AE2" t="s">
        <v>60</v>
      </c>
      <c r="AF2" t="s">
        <v>60</v>
      </c>
      <c r="AG2" t="s">
        <v>58</v>
      </c>
      <c r="AH2" t="s">
        <v>59</v>
      </c>
      <c r="AI2" t="s">
        <v>133</v>
      </c>
      <c r="AJ2" t="s">
        <v>331</v>
      </c>
      <c r="AK2" t="s">
        <v>431</v>
      </c>
      <c r="AL2" t="s">
        <v>432</v>
      </c>
      <c r="AM2" t="s">
        <v>60</v>
      </c>
      <c r="AN2" t="s">
        <v>60</v>
      </c>
      <c r="AO2" t="s">
        <v>60</v>
      </c>
      <c r="AP2" t="s">
        <v>60</v>
      </c>
      <c r="AQ2" t="s">
        <v>476</v>
      </c>
      <c r="AR2" t="s">
        <v>477</v>
      </c>
    </row>
    <row r="3" spans="1:44" x14ac:dyDescent="0.25">
      <c r="A3">
        <v>775</v>
      </c>
      <c r="B3" t="s">
        <v>329</v>
      </c>
      <c r="C3" t="s">
        <v>148</v>
      </c>
      <c r="D3" t="s">
        <v>14</v>
      </c>
      <c r="E3">
        <v>14</v>
      </c>
      <c r="F3">
        <v>2.48</v>
      </c>
      <c r="G3">
        <v>34.72</v>
      </c>
      <c r="H3" s="2">
        <v>45207</v>
      </c>
      <c r="I3" t="s">
        <v>264</v>
      </c>
      <c r="J3" t="s">
        <v>55</v>
      </c>
      <c r="K3" t="s">
        <v>386</v>
      </c>
      <c r="L3" t="s">
        <v>387</v>
      </c>
      <c r="M3" t="s">
        <v>362</v>
      </c>
      <c r="N3" t="s">
        <v>374</v>
      </c>
      <c r="O3" t="s">
        <v>60</v>
      </c>
      <c r="P3" t="s">
        <v>60</v>
      </c>
      <c r="Q3" t="s">
        <v>60</v>
      </c>
      <c r="R3" t="s">
        <v>60</v>
      </c>
      <c r="S3" t="s">
        <v>90</v>
      </c>
      <c r="T3" t="s">
        <v>327</v>
      </c>
      <c r="U3" t="s">
        <v>388</v>
      </c>
      <c r="V3" t="s">
        <v>389</v>
      </c>
      <c r="W3" t="s">
        <v>60</v>
      </c>
      <c r="X3" t="s">
        <v>60</v>
      </c>
      <c r="Y3" t="s">
        <v>56</v>
      </c>
      <c r="Z3" t="s">
        <v>57</v>
      </c>
      <c r="AA3" t="s">
        <v>60</v>
      </c>
      <c r="AB3" t="s">
        <v>60</v>
      </c>
      <c r="AC3" t="s">
        <v>60</v>
      </c>
      <c r="AD3" t="s">
        <v>60</v>
      </c>
      <c r="AE3" t="s">
        <v>60</v>
      </c>
      <c r="AF3" t="s">
        <v>60</v>
      </c>
      <c r="AG3" t="s">
        <v>58</v>
      </c>
      <c r="AH3" t="s">
        <v>59</v>
      </c>
      <c r="AI3" t="s">
        <v>431</v>
      </c>
      <c r="AJ3" t="s">
        <v>433</v>
      </c>
      <c r="AK3" t="s">
        <v>167</v>
      </c>
      <c r="AL3" t="s">
        <v>434</v>
      </c>
      <c r="AM3" t="s">
        <v>60</v>
      </c>
      <c r="AN3" t="s">
        <v>60</v>
      </c>
      <c r="AO3" t="s">
        <v>60</v>
      </c>
      <c r="AP3" t="s">
        <v>60</v>
      </c>
      <c r="AQ3" t="s">
        <v>483</v>
      </c>
      <c r="AR3" t="s">
        <v>484</v>
      </c>
    </row>
    <row r="4" spans="1:44" x14ac:dyDescent="0.25">
      <c r="A4">
        <v>736</v>
      </c>
      <c r="B4" t="s">
        <v>269</v>
      </c>
      <c r="C4" t="s">
        <v>78</v>
      </c>
      <c r="D4" t="s">
        <v>14</v>
      </c>
      <c r="E4">
        <v>4.5</v>
      </c>
      <c r="F4">
        <v>2.48</v>
      </c>
      <c r="G4">
        <v>11.16</v>
      </c>
      <c r="H4" s="2">
        <v>45207</v>
      </c>
      <c r="I4" t="s">
        <v>264</v>
      </c>
      <c r="J4" t="s">
        <v>55</v>
      </c>
      <c r="K4" t="s">
        <v>386</v>
      </c>
      <c r="L4" t="s">
        <v>387</v>
      </c>
      <c r="M4" t="s">
        <v>443</v>
      </c>
      <c r="N4" t="s">
        <v>444</v>
      </c>
      <c r="O4" t="s">
        <v>60</v>
      </c>
      <c r="P4" t="s">
        <v>60</v>
      </c>
      <c r="Q4" t="s">
        <v>60</v>
      </c>
      <c r="R4" t="s">
        <v>60</v>
      </c>
      <c r="S4" t="s">
        <v>167</v>
      </c>
      <c r="T4" t="s">
        <v>445</v>
      </c>
      <c r="U4" t="s">
        <v>388</v>
      </c>
      <c r="V4" t="s">
        <v>389</v>
      </c>
      <c r="W4" t="s">
        <v>60</v>
      </c>
      <c r="X4" t="s">
        <v>60</v>
      </c>
      <c r="Y4" t="s">
        <v>56</v>
      </c>
      <c r="Z4" t="s">
        <v>57</v>
      </c>
      <c r="AA4" t="s">
        <v>60</v>
      </c>
      <c r="AB4" t="s">
        <v>60</v>
      </c>
      <c r="AC4" t="s">
        <v>60</v>
      </c>
      <c r="AD4" t="s">
        <v>60</v>
      </c>
      <c r="AE4" t="s">
        <v>60</v>
      </c>
      <c r="AF4" t="s">
        <v>60</v>
      </c>
      <c r="AG4" t="s">
        <v>58</v>
      </c>
      <c r="AH4" t="s">
        <v>59</v>
      </c>
      <c r="AI4" t="s">
        <v>239</v>
      </c>
      <c r="AJ4" t="s">
        <v>350</v>
      </c>
      <c r="AK4" t="s">
        <v>431</v>
      </c>
      <c r="AL4" t="s">
        <v>432</v>
      </c>
      <c r="AM4" t="s">
        <v>60</v>
      </c>
      <c r="AN4" t="s">
        <v>60</v>
      </c>
      <c r="AO4" t="s">
        <v>60</v>
      </c>
      <c r="AP4" t="s">
        <v>60</v>
      </c>
      <c r="AQ4" t="s">
        <v>397</v>
      </c>
      <c r="AR4" t="s">
        <v>500</v>
      </c>
    </row>
    <row r="5" spans="1:44" x14ac:dyDescent="0.25">
      <c r="A5">
        <v>940</v>
      </c>
      <c r="B5" t="s">
        <v>369</v>
      </c>
      <c r="C5" t="s">
        <v>360</v>
      </c>
      <c r="D5" t="s">
        <v>14</v>
      </c>
      <c r="E5">
        <v>14.5</v>
      </c>
      <c r="F5">
        <v>2.48</v>
      </c>
      <c r="G5">
        <v>35.96</v>
      </c>
      <c r="H5" s="2">
        <v>45207</v>
      </c>
      <c r="I5" t="s">
        <v>168</v>
      </c>
      <c r="J5" t="s">
        <v>55</v>
      </c>
      <c r="K5" t="s">
        <v>135</v>
      </c>
      <c r="L5" t="s">
        <v>326</v>
      </c>
      <c r="M5" t="s">
        <v>447</v>
      </c>
      <c r="N5" t="s">
        <v>448</v>
      </c>
      <c r="O5" t="s">
        <v>60</v>
      </c>
      <c r="P5" t="s">
        <v>60</v>
      </c>
      <c r="Q5" t="s">
        <v>60</v>
      </c>
      <c r="R5" t="s">
        <v>60</v>
      </c>
      <c r="S5" t="s">
        <v>60</v>
      </c>
      <c r="T5" t="s">
        <v>60</v>
      </c>
      <c r="U5" t="s">
        <v>233</v>
      </c>
      <c r="V5" t="s">
        <v>328</v>
      </c>
      <c r="W5" t="s">
        <v>60</v>
      </c>
      <c r="X5" t="s">
        <v>60</v>
      </c>
      <c r="Y5" t="s">
        <v>56</v>
      </c>
      <c r="Z5" t="s">
        <v>57</v>
      </c>
      <c r="AA5" t="s">
        <v>60</v>
      </c>
      <c r="AB5" t="s">
        <v>60</v>
      </c>
      <c r="AC5" t="s">
        <v>60</v>
      </c>
      <c r="AD5" t="s">
        <v>60</v>
      </c>
      <c r="AE5" t="s">
        <v>60</v>
      </c>
      <c r="AF5" t="s">
        <v>60</v>
      </c>
      <c r="AG5" t="s">
        <v>58</v>
      </c>
      <c r="AH5" t="s">
        <v>59</v>
      </c>
      <c r="AI5" t="s">
        <v>431</v>
      </c>
      <c r="AJ5" t="s">
        <v>433</v>
      </c>
      <c r="AK5" t="s">
        <v>431</v>
      </c>
      <c r="AL5" t="s">
        <v>432</v>
      </c>
      <c r="AM5" t="s">
        <v>60</v>
      </c>
      <c r="AN5" t="s">
        <v>60</v>
      </c>
      <c r="AO5" t="s">
        <v>60</v>
      </c>
      <c r="AP5" t="s">
        <v>60</v>
      </c>
      <c r="AQ5" t="s">
        <v>510</v>
      </c>
      <c r="AR5" t="s">
        <v>511</v>
      </c>
    </row>
    <row r="6" spans="1:44" x14ac:dyDescent="0.25">
      <c r="A6">
        <v>776</v>
      </c>
      <c r="B6" t="s">
        <v>283</v>
      </c>
      <c r="C6" t="s">
        <v>150</v>
      </c>
      <c r="D6" t="s">
        <v>14</v>
      </c>
      <c r="E6">
        <v>14</v>
      </c>
      <c r="F6">
        <v>2.48</v>
      </c>
      <c r="G6">
        <v>34.72</v>
      </c>
      <c r="H6" s="2">
        <v>45207</v>
      </c>
      <c r="I6" t="s">
        <v>168</v>
      </c>
      <c r="J6" t="s">
        <v>55</v>
      </c>
      <c r="K6" t="s">
        <v>135</v>
      </c>
      <c r="L6" t="s">
        <v>326</v>
      </c>
      <c r="M6" t="s">
        <v>362</v>
      </c>
      <c r="N6" t="s">
        <v>374</v>
      </c>
      <c r="O6" t="s">
        <v>60</v>
      </c>
      <c r="P6" t="s">
        <v>60</v>
      </c>
      <c r="Q6" t="s">
        <v>60</v>
      </c>
      <c r="R6" t="s">
        <v>60</v>
      </c>
      <c r="S6" t="s">
        <v>167</v>
      </c>
      <c r="T6" t="s">
        <v>445</v>
      </c>
      <c r="U6" t="s">
        <v>233</v>
      </c>
      <c r="V6" t="s">
        <v>328</v>
      </c>
      <c r="W6" t="s">
        <v>60</v>
      </c>
      <c r="X6" t="s">
        <v>60</v>
      </c>
      <c r="Y6" t="s">
        <v>56</v>
      </c>
      <c r="Z6" t="s">
        <v>57</v>
      </c>
      <c r="AA6" t="s">
        <v>60</v>
      </c>
      <c r="AB6" t="s">
        <v>60</v>
      </c>
      <c r="AC6" t="s">
        <v>60</v>
      </c>
      <c r="AD6" t="s">
        <v>60</v>
      </c>
      <c r="AE6" t="s">
        <v>60</v>
      </c>
      <c r="AF6" t="s">
        <v>60</v>
      </c>
      <c r="AG6" t="s">
        <v>58</v>
      </c>
      <c r="AH6" t="s">
        <v>59</v>
      </c>
      <c r="AI6" t="s">
        <v>133</v>
      </c>
      <c r="AJ6" t="s">
        <v>331</v>
      </c>
      <c r="AK6" t="s">
        <v>431</v>
      </c>
      <c r="AL6" t="s">
        <v>432</v>
      </c>
      <c r="AM6" t="s">
        <v>60</v>
      </c>
      <c r="AN6" t="s">
        <v>60</v>
      </c>
      <c r="AO6" t="s">
        <v>60</v>
      </c>
      <c r="AP6" t="s">
        <v>60</v>
      </c>
      <c r="AQ6" t="s">
        <v>398</v>
      </c>
      <c r="AR6" t="s">
        <v>399</v>
      </c>
    </row>
    <row r="7" spans="1:44" x14ac:dyDescent="0.25">
      <c r="A7">
        <v>798</v>
      </c>
      <c r="B7" t="s">
        <v>226</v>
      </c>
      <c r="C7" t="s">
        <v>156</v>
      </c>
      <c r="D7" t="s">
        <v>14</v>
      </c>
      <c r="E7">
        <v>16</v>
      </c>
      <c r="F7">
        <v>2.48</v>
      </c>
      <c r="G7">
        <v>39.68</v>
      </c>
      <c r="H7" s="2">
        <v>45207</v>
      </c>
      <c r="I7" t="s">
        <v>168</v>
      </c>
      <c r="J7" t="s">
        <v>55</v>
      </c>
      <c r="K7" t="s">
        <v>60</v>
      </c>
      <c r="L7" t="s">
        <v>60</v>
      </c>
      <c r="M7" t="s">
        <v>169</v>
      </c>
      <c r="N7" t="s">
        <v>326</v>
      </c>
      <c r="O7" t="s">
        <v>60</v>
      </c>
      <c r="P7" t="s">
        <v>60</v>
      </c>
      <c r="Q7" t="s">
        <v>60</v>
      </c>
      <c r="R7" t="s">
        <v>60</v>
      </c>
      <c r="S7" t="s">
        <v>90</v>
      </c>
      <c r="T7" t="s">
        <v>327</v>
      </c>
      <c r="U7" t="s">
        <v>233</v>
      </c>
      <c r="V7" t="s">
        <v>328</v>
      </c>
      <c r="W7" t="s">
        <v>135</v>
      </c>
      <c r="X7" t="s">
        <v>332</v>
      </c>
      <c r="Y7" t="s">
        <v>56</v>
      </c>
      <c r="Z7" t="s">
        <v>57</v>
      </c>
      <c r="AA7" t="s">
        <v>60</v>
      </c>
      <c r="AB7" t="s">
        <v>60</v>
      </c>
      <c r="AC7" t="s">
        <v>60</v>
      </c>
      <c r="AD7" t="s">
        <v>60</v>
      </c>
      <c r="AE7" t="s">
        <v>60</v>
      </c>
      <c r="AF7" t="s">
        <v>60</v>
      </c>
      <c r="AG7" t="s">
        <v>58</v>
      </c>
      <c r="AH7" t="s">
        <v>59</v>
      </c>
      <c r="AI7" t="s">
        <v>133</v>
      </c>
      <c r="AJ7" t="s">
        <v>331</v>
      </c>
      <c r="AK7" t="s">
        <v>431</v>
      </c>
      <c r="AL7" t="s">
        <v>432</v>
      </c>
      <c r="AM7" t="s">
        <v>60</v>
      </c>
      <c r="AN7" t="s">
        <v>60</v>
      </c>
      <c r="AO7" t="s">
        <v>60</v>
      </c>
      <c r="AP7" t="s">
        <v>60</v>
      </c>
      <c r="AQ7" t="s">
        <v>191</v>
      </c>
      <c r="AR7" t="s">
        <v>335</v>
      </c>
    </row>
    <row r="8" spans="1:44" x14ac:dyDescent="0.25">
      <c r="A8">
        <v>772</v>
      </c>
      <c r="B8" t="s">
        <v>333</v>
      </c>
      <c r="C8" t="s">
        <v>174</v>
      </c>
      <c r="D8" t="s">
        <v>14</v>
      </c>
      <c r="E8">
        <v>17.5</v>
      </c>
      <c r="F8">
        <v>2.48</v>
      </c>
      <c r="G8">
        <v>43.4</v>
      </c>
      <c r="H8" s="2">
        <v>45207</v>
      </c>
      <c r="I8" t="s">
        <v>265</v>
      </c>
      <c r="J8" t="s">
        <v>55</v>
      </c>
      <c r="K8" t="s">
        <v>135</v>
      </c>
      <c r="L8" t="s">
        <v>326</v>
      </c>
      <c r="M8" t="s">
        <v>450</v>
      </c>
      <c r="N8" t="s">
        <v>451</v>
      </c>
      <c r="O8" t="s">
        <v>60</v>
      </c>
      <c r="P8" t="s">
        <v>60</v>
      </c>
      <c r="Q8" t="s">
        <v>60</v>
      </c>
      <c r="R8" t="s">
        <v>60</v>
      </c>
      <c r="S8" t="s">
        <v>90</v>
      </c>
      <c r="T8" t="s">
        <v>327</v>
      </c>
      <c r="U8" t="s">
        <v>233</v>
      </c>
      <c r="V8" t="s">
        <v>328</v>
      </c>
      <c r="W8" t="s">
        <v>60</v>
      </c>
      <c r="X8" t="s">
        <v>60</v>
      </c>
      <c r="Y8" t="s">
        <v>56</v>
      </c>
      <c r="Z8" t="s">
        <v>57</v>
      </c>
      <c r="AA8" t="s">
        <v>60</v>
      </c>
      <c r="AB8" t="s">
        <v>60</v>
      </c>
      <c r="AC8" t="s">
        <v>60</v>
      </c>
      <c r="AD8" t="s">
        <v>60</v>
      </c>
      <c r="AE8" t="s">
        <v>60</v>
      </c>
      <c r="AF8" t="s">
        <v>60</v>
      </c>
      <c r="AG8" t="s">
        <v>58</v>
      </c>
      <c r="AH8" t="s">
        <v>59</v>
      </c>
      <c r="AI8" t="s">
        <v>431</v>
      </c>
      <c r="AJ8" t="s">
        <v>433</v>
      </c>
      <c r="AK8" t="s">
        <v>167</v>
      </c>
      <c r="AL8" t="s">
        <v>434</v>
      </c>
      <c r="AM8" t="s">
        <v>60</v>
      </c>
      <c r="AN8" t="s">
        <v>60</v>
      </c>
      <c r="AO8" t="s">
        <v>60</v>
      </c>
      <c r="AP8" t="s">
        <v>60</v>
      </c>
      <c r="AQ8" t="s">
        <v>526</v>
      </c>
      <c r="AR8" t="s">
        <v>527</v>
      </c>
    </row>
    <row r="9" spans="1:44" x14ac:dyDescent="0.25">
      <c r="A9">
        <v>894</v>
      </c>
      <c r="B9" t="s">
        <v>371</v>
      </c>
      <c r="C9" t="s">
        <v>358</v>
      </c>
      <c r="D9" t="s">
        <v>14</v>
      </c>
      <c r="E9">
        <v>13</v>
      </c>
      <c r="F9">
        <v>2.48</v>
      </c>
      <c r="G9">
        <v>32.24</v>
      </c>
      <c r="H9" s="2">
        <v>45207</v>
      </c>
      <c r="I9" t="s">
        <v>168</v>
      </c>
      <c r="J9" t="s">
        <v>55</v>
      </c>
      <c r="K9" t="s">
        <v>135</v>
      </c>
      <c r="L9" t="s">
        <v>326</v>
      </c>
      <c r="M9" t="s">
        <v>453</v>
      </c>
      <c r="N9" t="s">
        <v>454</v>
      </c>
      <c r="O9" t="s">
        <v>60</v>
      </c>
      <c r="P9" t="s">
        <v>60</v>
      </c>
      <c r="Q9" t="s">
        <v>60</v>
      </c>
      <c r="R9" t="s">
        <v>60</v>
      </c>
      <c r="S9" t="s">
        <v>167</v>
      </c>
      <c r="T9" t="s">
        <v>445</v>
      </c>
      <c r="U9" t="s">
        <v>233</v>
      </c>
      <c r="V9" t="s">
        <v>328</v>
      </c>
      <c r="W9" t="s">
        <v>60</v>
      </c>
      <c r="X9" t="s">
        <v>60</v>
      </c>
      <c r="Y9" t="s">
        <v>56</v>
      </c>
      <c r="Z9" t="s">
        <v>57</v>
      </c>
      <c r="AA9" t="s">
        <v>60</v>
      </c>
      <c r="AB9" t="s">
        <v>60</v>
      </c>
      <c r="AC9" t="s">
        <v>60</v>
      </c>
      <c r="AD9" t="s">
        <v>60</v>
      </c>
      <c r="AE9" t="s">
        <v>60</v>
      </c>
      <c r="AF9" t="s">
        <v>60</v>
      </c>
      <c r="AG9" t="s">
        <v>58</v>
      </c>
      <c r="AH9" t="s">
        <v>59</v>
      </c>
      <c r="AI9" t="s">
        <v>133</v>
      </c>
      <c r="AJ9" t="s">
        <v>331</v>
      </c>
      <c r="AK9" t="s">
        <v>431</v>
      </c>
      <c r="AL9" t="s">
        <v>432</v>
      </c>
      <c r="AM9" t="s">
        <v>60</v>
      </c>
      <c r="AN9" t="s">
        <v>60</v>
      </c>
      <c r="AO9" t="s">
        <v>60</v>
      </c>
      <c r="AP9" t="s">
        <v>60</v>
      </c>
      <c r="AQ9" t="s">
        <v>532</v>
      </c>
      <c r="AR9" t="s">
        <v>533</v>
      </c>
    </row>
    <row r="10" spans="1:44" x14ac:dyDescent="0.25">
      <c r="A10">
        <v>794</v>
      </c>
      <c r="B10" t="s">
        <v>391</v>
      </c>
      <c r="C10" t="s">
        <v>325</v>
      </c>
      <c r="D10" t="s">
        <v>14</v>
      </c>
      <c r="E10">
        <v>24</v>
      </c>
      <c r="F10">
        <v>2.48</v>
      </c>
      <c r="G10">
        <v>59.52</v>
      </c>
      <c r="H10" s="2">
        <v>45207</v>
      </c>
      <c r="I10" t="s">
        <v>168</v>
      </c>
      <c r="J10" t="s">
        <v>55</v>
      </c>
      <c r="K10" t="s">
        <v>135</v>
      </c>
      <c r="L10" t="s">
        <v>326</v>
      </c>
      <c r="M10" t="s">
        <v>372</v>
      </c>
      <c r="N10" t="s">
        <v>373</v>
      </c>
      <c r="O10" t="s">
        <v>60</v>
      </c>
      <c r="P10" t="s">
        <v>60</v>
      </c>
      <c r="Q10" t="s">
        <v>60</v>
      </c>
      <c r="R10" t="s">
        <v>60</v>
      </c>
      <c r="S10" t="s">
        <v>90</v>
      </c>
      <c r="T10" t="s">
        <v>327</v>
      </c>
      <c r="U10" t="s">
        <v>233</v>
      </c>
      <c r="V10" t="s">
        <v>328</v>
      </c>
      <c r="W10" t="s">
        <v>60</v>
      </c>
      <c r="X10" t="s">
        <v>60</v>
      </c>
      <c r="Y10" t="s">
        <v>56</v>
      </c>
      <c r="Z10" t="s">
        <v>57</v>
      </c>
      <c r="AA10" t="s">
        <v>60</v>
      </c>
      <c r="AB10" t="s">
        <v>60</v>
      </c>
      <c r="AC10" t="s">
        <v>60</v>
      </c>
      <c r="AD10" t="s">
        <v>60</v>
      </c>
      <c r="AE10" t="s">
        <v>60</v>
      </c>
      <c r="AF10" t="s">
        <v>60</v>
      </c>
      <c r="AG10" t="s">
        <v>58</v>
      </c>
      <c r="AH10" t="s">
        <v>59</v>
      </c>
      <c r="AI10" t="s">
        <v>167</v>
      </c>
      <c r="AJ10" t="s">
        <v>459</v>
      </c>
      <c r="AK10" t="s">
        <v>167</v>
      </c>
      <c r="AL10" t="s">
        <v>434</v>
      </c>
      <c r="AM10" t="s">
        <v>60</v>
      </c>
      <c r="AN10" t="s">
        <v>60</v>
      </c>
      <c r="AO10" t="s">
        <v>60</v>
      </c>
      <c r="AP10" t="s">
        <v>60</v>
      </c>
      <c r="AQ10" t="s">
        <v>550</v>
      </c>
      <c r="AR10" t="s">
        <v>551</v>
      </c>
    </row>
    <row r="11" spans="1:44" x14ac:dyDescent="0.25">
      <c r="A11">
        <v>667</v>
      </c>
      <c r="B11" t="s">
        <v>170</v>
      </c>
      <c r="C11" t="s">
        <v>348</v>
      </c>
      <c r="D11" t="s">
        <v>14</v>
      </c>
      <c r="E11">
        <v>16</v>
      </c>
      <c r="F11">
        <v>2.48</v>
      </c>
      <c r="G11">
        <v>39.68</v>
      </c>
      <c r="H11" s="2">
        <v>45207</v>
      </c>
      <c r="I11" t="s">
        <v>168</v>
      </c>
      <c r="J11" t="s">
        <v>55</v>
      </c>
      <c r="K11" t="s">
        <v>60</v>
      </c>
      <c r="L11" t="s">
        <v>60</v>
      </c>
      <c r="M11" t="s">
        <v>169</v>
      </c>
      <c r="N11" t="s">
        <v>326</v>
      </c>
      <c r="O11" t="s">
        <v>60</v>
      </c>
      <c r="P11" t="s">
        <v>60</v>
      </c>
      <c r="Q11" t="s">
        <v>60</v>
      </c>
      <c r="R11" t="s">
        <v>60</v>
      </c>
      <c r="S11" t="s">
        <v>90</v>
      </c>
      <c r="T11" t="s">
        <v>327</v>
      </c>
      <c r="U11" t="s">
        <v>233</v>
      </c>
      <c r="V11" t="s">
        <v>328</v>
      </c>
      <c r="W11" t="s">
        <v>135</v>
      </c>
      <c r="X11" t="s">
        <v>332</v>
      </c>
      <c r="Y11" t="s">
        <v>56</v>
      </c>
      <c r="Z11" t="s">
        <v>57</v>
      </c>
      <c r="AA11" t="s">
        <v>60</v>
      </c>
      <c r="AB11" t="s">
        <v>60</v>
      </c>
      <c r="AC11" t="s">
        <v>60</v>
      </c>
      <c r="AD11" t="s">
        <v>60</v>
      </c>
      <c r="AE11" t="s">
        <v>60</v>
      </c>
      <c r="AF11" t="s">
        <v>60</v>
      </c>
      <c r="AG11" t="s">
        <v>58</v>
      </c>
      <c r="AH11" t="s">
        <v>59</v>
      </c>
      <c r="AI11" t="s">
        <v>133</v>
      </c>
      <c r="AJ11" t="s">
        <v>331</v>
      </c>
      <c r="AK11" t="s">
        <v>431</v>
      </c>
      <c r="AL11" t="s">
        <v>432</v>
      </c>
      <c r="AM11" t="s">
        <v>60</v>
      </c>
      <c r="AN11" t="s">
        <v>60</v>
      </c>
      <c r="AO11" t="s">
        <v>60</v>
      </c>
      <c r="AP11" t="s">
        <v>60</v>
      </c>
      <c r="AQ11" t="s">
        <v>191</v>
      </c>
      <c r="AR11" t="s">
        <v>335</v>
      </c>
    </row>
    <row r="12" spans="1:44" x14ac:dyDescent="0.25">
      <c r="A12">
        <v>115</v>
      </c>
      <c r="B12" t="s">
        <v>298</v>
      </c>
      <c r="C12" t="s">
        <v>293</v>
      </c>
      <c r="D12" t="s">
        <v>14</v>
      </c>
      <c r="E12">
        <v>24</v>
      </c>
      <c r="F12">
        <v>2.48</v>
      </c>
      <c r="G12">
        <v>59.52</v>
      </c>
      <c r="H12" s="2">
        <v>45207</v>
      </c>
      <c r="I12" t="s">
        <v>168</v>
      </c>
      <c r="J12" t="s">
        <v>55</v>
      </c>
      <c r="K12" t="s">
        <v>135</v>
      </c>
      <c r="L12" t="s">
        <v>326</v>
      </c>
      <c r="M12" t="s">
        <v>372</v>
      </c>
      <c r="N12" t="s">
        <v>373</v>
      </c>
      <c r="O12" t="s">
        <v>60</v>
      </c>
      <c r="P12" t="s">
        <v>60</v>
      </c>
      <c r="Q12" t="s">
        <v>60</v>
      </c>
      <c r="R12" t="s">
        <v>60</v>
      </c>
      <c r="S12" t="s">
        <v>464</v>
      </c>
      <c r="T12" t="s">
        <v>465</v>
      </c>
      <c r="U12" t="s">
        <v>233</v>
      </c>
      <c r="V12" t="s">
        <v>328</v>
      </c>
      <c r="W12" t="s">
        <v>60</v>
      </c>
      <c r="X12" t="s">
        <v>60</v>
      </c>
      <c r="Y12" t="s">
        <v>56</v>
      </c>
      <c r="Z12" t="s">
        <v>57</v>
      </c>
      <c r="AA12" t="s">
        <v>60</v>
      </c>
      <c r="AB12" t="s">
        <v>60</v>
      </c>
      <c r="AC12" t="s">
        <v>60</v>
      </c>
      <c r="AD12" t="s">
        <v>60</v>
      </c>
      <c r="AE12" t="s">
        <v>60</v>
      </c>
      <c r="AF12" t="s">
        <v>60</v>
      </c>
      <c r="AG12" t="s">
        <v>58</v>
      </c>
      <c r="AH12" t="s">
        <v>59</v>
      </c>
      <c r="AI12" t="s">
        <v>167</v>
      </c>
      <c r="AJ12" t="s">
        <v>459</v>
      </c>
      <c r="AK12" t="s">
        <v>167</v>
      </c>
      <c r="AL12" t="s">
        <v>434</v>
      </c>
      <c r="AM12" t="s">
        <v>60</v>
      </c>
      <c r="AN12" t="s">
        <v>60</v>
      </c>
      <c r="AO12" t="s">
        <v>60</v>
      </c>
      <c r="AP12" t="s">
        <v>60</v>
      </c>
      <c r="AQ12" t="s">
        <v>550</v>
      </c>
      <c r="AR12" t="s">
        <v>551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3E841-3CA0-4338-890E-CA841DEC541C}">
  <sheetPr codeName="Sheet7">
    <tabColor theme="9"/>
  </sheetPr>
  <dimension ref="A1:BI2"/>
  <sheetViews>
    <sheetView workbookViewId="0">
      <selection sqref="A1:BI2"/>
    </sheetView>
  </sheetViews>
  <sheetFormatPr defaultRowHeight="15" x14ac:dyDescent="0.25"/>
  <cols>
    <col min="1" max="1" width="20.140625" bestFit="1" customWidth="1"/>
    <col min="2" max="2" width="8.5703125" bestFit="1" customWidth="1"/>
    <col min="3" max="3" width="11.140625" bestFit="1" customWidth="1"/>
    <col min="4" max="4" width="20.7109375" bestFit="1" customWidth="1"/>
    <col min="5" max="5" width="13.5703125" style="1" bestFit="1" customWidth="1"/>
    <col min="6" max="6" width="14.28515625" style="1" bestFit="1" customWidth="1"/>
    <col min="7" max="7" width="13.140625" style="1" bestFit="1" customWidth="1"/>
    <col min="8" max="8" width="13.140625" bestFit="1" customWidth="1"/>
    <col min="9" max="9" width="18.28515625" bestFit="1" customWidth="1"/>
    <col min="10" max="10" width="10.85546875" bestFit="1" customWidth="1"/>
    <col min="11" max="11" width="21.42578125" bestFit="1" customWidth="1"/>
    <col min="12" max="12" width="19.140625" bestFit="1" customWidth="1"/>
    <col min="13" max="13" width="20" bestFit="1" customWidth="1"/>
    <col min="14" max="14" width="17.7109375" bestFit="1" customWidth="1"/>
    <col min="15" max="15" width="20.42578125" bestFit="1" customWidth="1"/>
    <col min="16" max="16" width="18.140625" bestFit="1" customWidth="1"/>
    <col min="17" max="17" width="28" bestFit="1" customWidth="1"/>
    <col min="18" max="18" width="25.7109375" bestFit="1" customWidth="1"/>
    <col min="19" max="19" width="18" bestFit="1" customWidth="1"/>
    <col min="20" max="20" width="15.85546875" bestFit="1" customWidth="1"/>
    <col min="21" max="21" width="17" bestFit="1" customWidth="1"/>
    <col min="22" max="22" width="14.7109375" bestFit="1" customWidth="1"/>
    <col min="23" max="23" width="23" bestFit="1" customWidth="1"/>
    <col min="24" max="24" width="20.85546875" bestFit="1" customWidth="1"/>
    <col min="25" max="25" width="16" bestFit="1" customWidth="1"/>
    <col min="26" max="26" width="26.42578125" bestFit="1" customWidth="1"/>
    <col min="27" max="27" width="20" bestFit="1" customWidth="1"/>
    <col min="28" max="28" width="17.7109375" bestFit="1" customWidth="1"/>
    <col min="29" max="29" width="20.42578125" bestFit="1" customWidth="1"/>
    <col min="30" max="30" width="18.140625" bestFit="1" customWidth="1"/>
    <col min="31" max="31" width="20.7109375" bestFit="1" customWidth="1"/>
    <col min="32" max="32" width="18.42578125" bestFit="1" customWidth="1"/>
    <col min="33" max="33" width="42.28515625" bestFit="1" customWidth="1"/>
    <col min="34" max="34" width="40" bestFit="1" customWidth="1"/>
    <col min="35" max="35" width="24.28515625" bestFit="1" customWidth="1"/>
    <col min="36" max="36" width="32" bestFit="1" customWidth="1"/>
    <col min="37" max="37" width="27.28515625" bestFit="1" customWidth="1"/>
    <col min="38" max="38" width="32.85546875" bestFit="1" customWidth="1"/>
    <col min="39" max="39" width="32.7109375" bestFit="1" customWidth="1"/>
    <col min="40" max="40" width="28.140625" bestFit="1" customWidth="1"/>
    <col min="41" max="41" width="40" bestFit="1" customWidth="1"/>
    <col min="42" max="42" width="36.42578125" bestFit="1" customWidth="1"/>
    <col min="43" max="43" width="33.140625" bestFit="1" customWidth="1"/>
    <col min="44" max="44" width="15.42578125" bestFit="1" customWidth="1"/>
    <col min="45" max="45" width="13.140625" bestFit="1" customWidth="1"/>
    <col min="46" max="46" width="8.28515625" bestFit="1" customWidth="1"/>
    <col min="47" max="47" width="17.28515625" bestFit="1" customWidth="1"/>
    <col min="48" max="48" width="11.140625" bestFit="1" customWidth="1"/>
    <col min="49" max="49" width="6.5703125" bestFit="1" customWidth="1"/>
    <col min="50" max="50" width="17.5703125" bestFit="1" customWidth="1"/>
    <col min="51" max="51" width="21" bestFit="1" customWidth="1"/>
    <col min="52" max="52" width="34.42578125" bestFit="1" customWidth="1"/>
    <col min="53" max="53" width="27.42578125" bestFit="1" customWidth="1"/>
    <col min="54" max="54" width="27.140625" bestFit="1" customWidth="1"/>
    <col min="55" max="55" width="24.140625" bestFit="1" customWidth="1"/>
    <col min="56" max="56" width="11.140625" bestFit="1" customWidth="1"/>
    <col min="57" max="60" width="5.28515625" bestFit="1" customWidth="1"/>
    <col min="61" max="63" width="29.140625" bestFit="1" customWidth="1"/>
    <col min="64" max="69" width="5.28515625" bestFit="1" customWidth="1"/>
    <col min="70" max="70" width="29.140625" bestFit="1" customWidth="1"/>
    <col min="71" max="71" width="34.42578125" bestFit="1" customWidth="1"/>
    <col min="72" max="72" width="18.7109375" bestFit="1" customWidth="1"/>
    <col min="73" max="73" width="27.42578125" bestFit="1" customWidth="1"/>
    <col min="74" max="74" width="27.140625" bestFit="1" customWidth="1"/>
    <col min="75" max="75" width="11.140625" bestFit="1" customWidth="1"/>
    <col min="76" max="77" width="5.28515625" customWidth="1"/>
    <col min="78" max="78" width="29.140625" bestFit="1" customWidth="1"/>
    <col min="79" max="84" width="5.28515625" bestFit="1" customWidth="1"/>
    <col min="85" max="87" width="6.28515625" bestFit="1" customWidth="1"/>
    <col min="88" max="88" width="29.140625" bestFit="1" customWidth="1"/>
    <col min="89" max="89" width="11.140625" bestFit="1" customWidth="1"/>
    <col min="90" max="93" width="5.28515625" bestFit="1" customWidth="1"/>
    <col min="94" max="94" width="5.28515625" customWidth="1"/>
    <col min="95" max="95" width="29.140625" bestFit="1" customWidth="1"/>
    <col min="96" max="96" width="5.28515625" bestFit="1" customWidth="1"/>
    <col min="97" max="97" width="29.140625" bestFit="1" customWidth="1"/>
    <col min="98" max="98" width="18.7109375" bestFit="1" customWidth="1"/>
    <col min="99" max="99" width="27.42578125" bestFit="1" customWidth="1"/>
    <col min="100" max="100" width="27.140625" bestFit="1" customWidth="1"/>
    <col min="101" max="101" width="11.140625" bestFit="1" customWidth="1"/>
    <col min="102" max="102" width="5.28515625" bestFit="1" customWidth="1"/>
    <col min="103" max="103" width="29.140625" bestFit="1" customWidth="1"/>
    <col min="104" max="104" width="21.85546875" bestFit="1" customWidth="1"/>
    <col min="105" max="105" width="21" bestFit="1" customWidth="1"/>
    <col min="106" max="106" width="34.42578125" bestFit="1" customWidth="1"/>
    <col min="107" max="107" width="18.7109375" bestFit="1" customWidth="1"/>
    <col min="108" max="108" width="11.140625" bestFit="1" customWidth="1"/>
    <col min="109" max="112" width="5.28515625" bestFit="1" customWidth="1"/>
    <col min="113" max="114" width="29.140625" bestFit="1" customWidth="1"/>
    <col min="115" max="115" width="34.42578125" bestFit="1" customWidth="1"/>
    <col min="116" max="116" width="18.7109375" bestFit="1" customWidth="1"/>
    <col min="117" max="117" width="11.140625" bestFit="1" customWidth="1"/>
    <col min="118" max="119" width="5.28515625" customWidth="1"/>
    <col min="120" max="120" width="29.140625" bestFit="1" customWidth="1"/>
    <col min="121" max="122" width="5.28515625" bestFit="1" customWidth="1"/>
    <col min="123" max="126" width="5.28515625" customWidth="1"/>
    <col min="127" max="127" width="29.140625" bestFit="1" customWidth="1"/>
    <col min="128" max="128" width="5.28515625" customWidth="1"/>
    <col min="129" max="129" width="29.140625" bestFit="1" customWidth="1"/>
    <col min="130" max="131" width="5.28515625" customWidth="1"/>
    <col min="132" max="132" width="29.140625" bestFit="1" customWidth="1"/>
    <col min="133" max="136" width="5.28515625" bestFit="1" customWidth="1"/>
    <col min="137" max="137" width="29.140625" bestFit="1" customWidth="1"/>
    <col min="138" max="138" width="11.140625" bestFit="1" customWidth="1"/>
    <col min="139" max="139" width="5.28515625" bestFit="1" customWidth="1"/>
    <col min="140" max="143" width="5.28515625" customWidth="1"/>
    <col min="144" max="144" width="25.85546875" bestFit="1" customWidth="1"/>
    <col min="145" max="147" width="5.28515625" bestFit="1" customWidth="1"/>
    <col min="148" max="148" width="5.28515625" customWidth="1"/>
    <col min="149" max="149" width="25.85546875" bestFit="1" customWidth="1"/>
    <col min="150" max="150" width="5.28515625" bestFit="1" customWidth="1"/>
    <col min="151" max="151" width="25.85546875" bestFit="1" customWidth="1"/>
    <col min="152" max="152" width="34.42578125" bestFit="1" customWidth="1"/>
    <col min="153" max="153" width="18.7109375" bestFit="1" customWidth="1"/>
    <col min="154" max="154" width="11.140625" bestFit="1" customWidth="1"/>
    <col min="155" max="156" width="5.28515625" customWidth="1"/>
    <col min="157" max="157" width="25.85546875" bestFit="1" customWidth="1"/>
    <col min="158" max="159" width="5.28515625" customWidth="1"/>
    <col min="160" max="160" width="25.85546875" bestFit="1" customWidth="1"/>
    <col min="161" max="162" width="5.28515625" bestFit="1" customWidth="1"/>
    <col min="163" max="163" width="5.28515625" customWidth="1"/>
    <col min="164" max="164" width="25.85546875" bestFit="1" customWidth="1"/>
    <col min="165" max="165" width="5.28515625" bestFit="1" customWidth="1"/>
    <col min="166" max="166" width="25.85546875" bestFit="1" customWidth="1"/>
    <col min="167" max="167" width="34.42578125" bestFit="1" customWidth="1"/>
    <col min="168" max="168" width="18.7109375" bestFit="1" customWidth="1"/>
    <col min="169" max="169" width="11.140625" bestFit="1" customWidth="1"/>
    <col min="170" max="171" width="5.28515625" customWidth="1"/>
    <col min="172" max="172" width="25.85546875" bestFit="1" customWidth="1"/>
    <col min="173" max="178" width="5.28515625" bestFit="1" customWidth="1"/>
    <col min="179" max="179" width="6.28515625" bestFit="1" customWidth="1"/>
    <col min="180" max="180" width="25.85546875" bestFit="1" customWidth="1"/>
    <col min="181" max="185" width="5.140625" customWidth="1"/>
    <col min="186" max="186" width="24.85546875" bestFit="1" customWidth="1"/>
    <col min="187" max="189" width="5.140625" bestFit="1" customWidth="1"/>
    <col min="190" max="191" width="6.140625" bestFit="1" customWidth="1"/>
    <col min="192" max="192" width="24.85546875" bestFit="1" customWidth="1"/>
    <col min="193" max="193" width="16.85546875" bestFit="1" customWidth="1"/>
    <col min="194" max="194" width="21" bestFit="1" customWidth="1"/>
    <col min="195" max="195" width="20.140625" bestFit="1" customWidth="1"/>
    <col min="196" max="196" width="33" bestFit="1" customWidth="1"/>
    <col min="197" max="197" width="18" bestFit="1" customWidth="1"/>
    <col min="198" max="198" width="10.7109375" bestFit="1" customWidth="1"/>
    <col min="199" max="201" width="5.140625" bestFit="1" customWidth="1"/>
    <col min="202" max="202" width="24.85546875" bestFit="1" customWidth="1"/>
    <col min="203" max="205" width="5.28515625" bestFit="1" customWidth="1"/>
    <col min="206" max="206" width="25.85546875" bestFit="1" customWidth="1"/>
    <col min="207" max="207" width="21.85546875" bestFit="1" customWidth="1"/>
    <col min="208" max="208" width="21" bestFit="1" customWidth="1"/>
    <col min="209" max="209" width="34.42578125" customWidth="1"/>
    <col min="210" max="210" width="18.7109375" bestFit="1" customWidth="1"/>
    <col min="211" max="211" width="11.140625" bestFit="1" customWidth="1"/>
    <col min="212" max="212" width="25.85546875" bestFit="1" customWidth="1"/>
    <col min="213" max="213" width="18.7109375" bestFit="1" customWidth="1"/>
    <col min="214" max="214" width="11.140625" customWidth="1"/>
    <col min="215" max="215" width="5.28515625" bestFit="1" customWidth="1"/>
    <col min="216" max="216" width="25.85546875" bestFit="1" customWidth="1"/>
    <col min="217" max="219" width="5.28515625" bestFit="1" customWidth="1"/>
    <col min="220" max="223" width="5.28515625" customWidth="1"/>
    <col min="224" max="224" width="25.85546875" bestFit="1" customWidth="1"/>
    <col min="225" max="228" width="5.28515625" bestFit="1" customWidth="1"/>
    <col min="229" max="229" width="25.85546875" bestFit="1" customWidth="1"/>
    <col min="230" max="230" width="11.140625" bestFit="1" customWidth="1"/>
    <col min="231" max="234" width="5.28515625" customWidth="1"/>
    <col min="235" max="235" width="25.85546875" bestFit="1" customWidth="1"/>
    <col min="236" max="236" width="5.28515625" bestFit="1" customWidth="1"/>
    <col min="237" max="241" width="5.28515625" customWidth="1"/>
    <col min="242" max="242" width="6.28515625" bestFit="1" customWidth="1"/>
    <col min="243" max="243" width="25.85546875" bestFit="1" customWidth="1"/>
    <col min="244" max="245" width="5.28515625" customWidth="1"/>
    <col min="246" max="246" width="6.28515625" bestFit="1" customWidth="1"/>
    <col min="247" max="247" width="25.85546875" bestFit="1" customWidth="1"/>
    <col min="248" max="250" width="5.28515625" customWidth="1"/>
    <col min="251" max="251" width="25.85546875" bestFit="1" customWidth="1"/>
    <col min="252" max="252" width="5.28515625" customWidth="1"/>
    <col min="253" max="253" width="25.85546875" bestFit="1" customWidth="1"/>
    <col min="254" max="255" width="5.28515625" bestFit="1" customWidth="1"/>
    <col min="256" max="259" width="6.28515625" bestFit="1" customWidth="1"/>
    <col min="260" max="260" width="6.28515625" customWidth="1"/>
    <col min="261" max="261" width="25.85546875" bestFit="1" customWidth="1"/>
    <col min="262" max="262" width="6.28515625" customWidth="1"/>
    <col min="263" max="263" width="25.85546875" bestFit="1" customWidth="1"/>
    <col min="264" max="264" width="6.28515625" bestFit="1" customWidth="1"/>
    <col min="265" max="265" width="25.85546875" bestFit="1" customWidth="1"/>
    <col min="266" max="266" width="11.140625" bestFit="1" customWidth="1"/>
    <col min="267" max="272" width="5.28515625" customWidth="1"/>
    <col min="273" max="273" width="25.85546875" bestFit="1" customWidth="1"/>
    <col min="274" max="275" width="5.28515625" bestFit="1" customWidth="1"/>
    <col min="276" max="280" width="6.28515625" bestFit="1" customWidth="1"/>
    <col min="281" max="281" width="25.85546875" bestFit="1" customWidth="1"/>
    <col min="282" max="282" width="21.85546875" bestFit="1" customWidth="1"/>
    <col min="283" max="283" width="21" bestFit="1" customWidth="1"/>
    <col min="284" max="284" width="34.42578125" bestFit="1" customWidth="1"/>
    <col min="285" max="285" width="18.7109375" bestFit="1" customWidth="1"/>
    <col min="286" max="286" width="11.140625" bestFit="1" customWidth="1"/>
    <col min="287" max="290" width="5.28515625" bestFit="1" customWidth="1"/>
    <col min="291" max="291" width="25.85546875" bestFit="1" customWidth="1"/>
    <col min="292" max="292" width="8.5703125" bestFit="1" customWidth="1"/>
    <col min="293" max="293" width="25.85546875" bestFit="1" customWidth="1"/>
    <col min="294" max="294" width="25.85546875" customWidth="1"/>
    <col min="295" max="295" width="8.5703125" bestFit="1" customWidth="1"/>
    <col min="296" max="296" width="17.28515625" bestFit="1" customWidth="1"/>
    <col min="297" max="297" width="7.5703125" bestFit="1" customWidth="1"/>
    <col min="298" max="298" width="17.5703125" bestFit="1" customWidth="1"/>
    <col min="299" max="299" width="21" bestFit="1" customWidth="1"/>
    <col min="300" max="300" width="34.42578125" bestFit="1" customWidth="1"/>
    <col min="301" max="301" width="11.140625" bestFit="1" customWidth="1"/>
    <col min="302" max="304" width="5.28515625" bestFit="1" customWidth="1"/>
    <col min="305" max="305" width="11.140625" bestFit="1" customWidth="1"/>
    <col min="306" max="306" width="17.5703125" bestFit="1" customWidth="1"/>
    <col min="307" max="307" width="21" bestFit="1" customWidth="1"/>
    <col min="308" max="308" width="34.42578125" bestFit="1" customWidth="1"/>
    <col min="309" max="309" width="11.140625" bestFit="1" customWidth="1"/>
    <col min="310" max="311" width="5.28515625" bestFit="1" customWidth="1"/>
    <col min="312" max="312" width="11.140625" bestFit="1" customWidth="1"/>
    <col min="313" max="313" width="29.85546875" bestFit="1" customWidth="1"/>
    <col min="314" max="314" width="24.28515625" bestFit="1" customWidth="1"/>
    <col min="315" max="315" width="28.7109375" bestFit="1" customWidth="1"/>
    <col min="316" max="316" width="36.5703125" bestFit="1" customWidth="1"/>
    <col min="317" max="317" width="30.7109375" bestFit="1" customWidth="1"/>
    <col min="318" max="318" width="24.140625" bestFit="1" customWidth="1"/>
    <col min="319" max="319" width="29.5703125" bestFit="1" customWidth="1"/>
    <col min="320" max="320" width="33.140625" bestFit="1" customWidth="1"/>
    <col min="321" max="321" width="13.140625" bestFit="1" customWidth="1"/>
    <col min="322" max="322" width="25.85546875" bestFit="1" customWidth="1"/>
    <col min="323" max="323" width="8.28515625" bestFit="1" customWidth="1"/>
    <col min="324" max="324" width="17.28515625" bestFit="1" customWidth="1"/>
    <col min="325" max="325" width="11.140625" customWidth="1"/>
    <col min="326" max="326" width="7.5703125" bestFit="1" customWidth="1"/>
    <col min="327" max="327" width="17.5703125" bestFit="1" customWidth="1"/>
    <col min="328" max="328" width="11.28515625" bestFit="1" customWidth="1"/>
    <col min="329" max="329" width="25.85546875" bestFit="1" customWidth="1"/>
    <col min="330" max="330" width="8.5703125" bestFit="1" customWidth="1"/>
    <col min="331" max="331" width="17.28515625" bestFit="1" customWidth="1"/>
    <col min="332" max="332" width="11.140625" bestFit="1" customWidth="1"/>
    <col min="333" max="333" width="7.5703125" customWidth="1"/>
    <col min="334" max="334" width="17.5703125" bestFit="1" customWidth="1"/>
    <col min="335" max="335" width="21" bestFit="1" customWidth="1"/>
    <col min="336" max="336" width="17.5703125" bestFit="1" customWidth="1"/>
    <col min="337" max="337" width="21" bestFit="1" customWidth="1"/>
    <col min="338" max="338" width="11.140625" bestFit="1" customWidth="1"/>
    <col min="339" max="340" width="5.28515625" customWidth="1"/>
    <col min="341" max="341" width="34.42578125" bestFit="1" customWidth="1"/>
    <col min="342" max="343" width="5.28515625" bestFit="1" customWidth="1"/>
    <col min="344" max="344" width="34.42578125" bestFit="1" customWidth="1"/>
    <col min="345" max="345" width="11.140625" customWidth="1"/>
    <col min="346" max="346" width="7.5703125" bestFit="1" customWidth="1"/>
    <col min="347" max="347" width="17.5703125" bestFit="1" customWidth="1"/>
    <col min="348" max="348" width="21" bestFit="1" customWidth="1"/>
    <col min="349" max="349" width="34.42578125" bestFit="1" customWidth="1"/>
    <col min="350" max="353" width="5.28515625" bestFit="1" customWidth="1"/>
    <col min="354" max="354" width="34.42578125" bestFit="1" customWidth="1"/>
    <col min="355" max="355" width="11.140625" bestFit="1" customWidth="1"/>
    <col min="356" max="356" width="7.5703125" bestFit="1" customWidth="1"/>
    <col min="357" max="357" width="17.5703125" customWidth="1"/>
    <col min="358" max="358" width="21" bestFit="1" customWidth="1"/>
    <col min="359" max="359" width="11.140625" bestFit="1" customWidth="1"/>
    <col min="360" max="360" width="34.42578125" bestFit="1" customWidth="1"/>
    <col min="361" max="361" width="21" bestFit="1" customWidth="1"/>
    <col min="362" max="362" width="34.42578125" bestFit="1" customWidth="1"/>
    <col min="363" max="363" width="11.140625" bestFit="1" customWidth="1"/>
    <col min="364" max="366" width="5.28515625" customWidth="1"/>
    <col min="367" max="371" width="5.28515625" bestFit="1" customWidth="1"/>
    <col min="372" max="372" width="34.42578125" bestFit="1" customWidth="1"/>
    <col min="373" max="373" width="11.140625" bestFit="1" customWidth="1"/>
    <col min="374" max="375" width="5.28515625" bestFit="1" customWidth="1"/>
    <col min="376" max="376" width="34.42578125" bestFit="1" customWidth="1"/>
    <col min="377" max="377" width="11.140625" bestFit="1" customWidth="1"/>
    <col min="378" max="379" width="5.28515625" bestFit="1" customWidth="1"/>
    <col min="380" max="380" width="34.42578125" bestFit="1" customWidth="1"/>
    <col min="381" max="381" width="11.140625" bestFit="1" customWidth="1"/>
    <col min="382" max="382" width="5.28515625" customWidth="1"/>
    <col min="383" max="390" width="5.28515625" bestFit="1" customWidth="1"/>
    <col min="391" max="391" width="34.42578125" bestFit="1" customWidth="1"/>
    <col min="392" max="392" width="11.140625" customWidth="1"/>
    <col min="393" max="396" width="5.28515625" bestFit="1" customWidth="1"/>
    <col min="397" max="399" width="5.28515625" customWidth="1"/>
    <col min="400" max="402" width="5.28515625" bestFit="1" customWidth="1"/>
    <col min="403" max="403" width="17.5703125" bestFit="1" customWidth="1"/>
    <col min="404" max="404" width="21" bestFit="1" customWidth="1"/>
    <col min="405" max="405" width="34.42578125" bestFit="1" customWidth="1"/>
    <col min="406" max="406" width="11.140625" bestFit="1" customWidth="1"/>
    <col min="407" max="407" width="5.28515625" bestFit="1" customWidth="1"/>
    <col min="408" max="408" width="11.140625" customWidth="1"/>
    <col min="409" max="409" width="5.28515625" bestFit="1" customWidth="1"/>
    <col min="410" max="410" width="5.28515625" customWidth="1"/>
    <col min="411" max="411" width="14.28515625" bestFit="1" customWidth="1"/>
    <col min="412" max="413" width="5.28515625" customWidth="1"/>
    <col min="414" max="414" width="14.28515625" bestFit="1" customWidth="1"/>
    <col min="415" max="416" width="5.28515625" bestFit="1" customWidth="1"/>
    <col min="417" max="417" width="14.28515625" bestFit="1" customWidth="1"/>
    <col min="418" max="418" width="34.42578125" bestFit="1" customWidth="1"/>
    <col min="419" max="419" width="11.140625" bestFit="1" customWidth="1"/>
    <col min="420" max="421" width="5.28515625" customWidth="1"/>
    <col min="422" max="422" width="14.28515625" bestFit="1" customWidth="1"/>
    <col min="423" max="425" width="5.28515625" bestFit="1" customWidth="1"/>
    <col min="426" max="426" width="14.28515625" bestFit="1" customWidth="1"/>
    <col min="427" max="427" width="11.140625" bestFit="1" customWidth="1"/>
    <col min="428" max="428" width="6.5703125" bestFit="1" customWidth="1"/>
    <col min="429" max="429" width="17.5703125" bestFit="1" customWidth="1"/>
    <col min="430" max="430" width="21" customWidth="1"/>
    <col min="431" max="431" width="34.42578125" bestFit="1" customWidth="1"/>
    <col min="432" max="432" width="14.28515625" bestFit="1" customWidth="1"/>
    <col min="433" max="433" width="34.42578125" bestFit="1" customWidth="1"/>
    <col min="434" max="434" width="11.140625" bestFit="1" customWidth="1"/>
    <col min="435" max="437" width="5.28515625" bestFit="1" customWidth="1"/>
    <col min="438" max="438" width="14.28515625" bestFit="1" customWidth="1"/>
    <col min="439" max="439" width="34.42578125" bestFit="1" customWidth="1"/>
    <col min="440" max="440" width="11.140625" bestFit="1" customWidth="1"/>
    <col min="441" max="441" width="5.28515625" customWidth="1"/>
    <col min="442" max="442" width="14.28515625" bestFit="1" customWidth="1"/>
    <col min="443" max="443" width="5.28515625" bestFit="1" customWidth="1"/>
    <col min="444" max="444" width="14.28515625" bestFit="1" customWidth="1"/>
    <col min="445" max="445" width="5.28515625" customWidth="1"/>
    <col min="446" max="446" width="14.28515625" bestFit="1" customWidth="1"/>
    <col min="447" max="447" width="5.28515625" customWidth="1"/>
    <col min="448" max="448" width="14.28515625" bestFit="1" customWidth="1"/>
    <col min="449" max="449" width="5.28515625" bestFit="1" customWidth="1"/>
    <col min="450" max="450" width="14.28515625" bestFit="1" customWidth="1"/>
    <col min="451" max="451" width="17.5703125" bestFit="1" customWidth="1"/>
    <col min="452" max="452" width="21" bestFit="1" customWidth="1"/>
    <col min="453" max="453" width="34.42578125" bestFit="1" customWidth="1"/>
    <col min="454" max="454" width="11.140625" bestFit="1" customWidth="1"/>
    <col min="455" max="455" width="14.28515625" bestFit="1" customWidth="1"/>
    <col min="456" max="456" width="36.28515625" bestFit="1" customWidth="1"/>
    <col min="457" max="457" width="13.140625" bestFit="1" customWidth="1"/>
    <col min="458" max="458" width="8.28515625" bestFit="1" customWidth="1"/>
    <col min="459" max="459" width="17.28515625" customWidth="1"/>
    <col min="460" max="460" width="11.140625" bestFit="1" customWidth="1"/>
    <col min="461" max="461" width="6.5703125" bestFit="1" customWidth="1"/>
    <col min="462" max="462" width="14.28515625" bestFit="1" customWidth="1"/>
    <col min="463" max="463" width="11.140625" bestFit="1" customWidth="1"/>
    <col min="464" max="464" width="6.5703125" bestFit="1" customWidth="1"/>
    <col min="465" max="465" width="17.5703125" bestFit="1" customWidth="1"/>
    <col min="466" max="466" width="21" bestFit="1" customWidth="1"/>
    <col min="467" max="467" width="14.28515625" bestFit="1" customWidth="1"/>
    <col min="468" max="468" width="10.5703125" bestFit="1" customWidth="1"/>
    <col min="469" max="472" width="5.140625" bestFit="1" customWidth="1"/>
    <col min="473" max="473" width="13.42578125" bestFit="1" customWidth="1"/>
    <col min="474" max="474" width="21" bestFit="1" customWidth="1"/>
    <col min="475" max="475" width="34.42578125" bestFit="1" customWidth="1"/>
    <col min="476" max="476" width="11.140625" customWidth="1"/>
    <col min="477" max="477" width="14.28515625" bestFit="1" customWidth="1"/>
    <col min="478" max="481" width="5.28515625" bestFit="1" customWidth="1"/>
    <col min="482" max="482" width="14.28515625" bestFit="1" customWidth="1"/>
    <col min="483" max="483" width="33.140625" bestFit="1" customWidth="1"/>
    <col min="484" max="484" width="36.28515625" bestFit="1" customWidth="1"/>
    <col min="485" max="485" width="13.140625" bestFit="1" customWidth="1"/>
    <col min="486" max="486" width="8.28515625" bestFit="1" customWidth="1"/>
    <col min="487" max="487" width="17.28515625" bestFit="1" customWidth="1"/>
    <col min="488" max="488" width="11.140625" bestFit="1" customWidth="1"/>
    <col min="489" max="489" width="6.5703125" customWidth="1"/>
    <col min="490" max="490" width="14.28515625" bestFit="1" customWidth="1"/>
    <col min="491" max="491" width="17.5703125" bestFit="1" customWidth="1"/>
    <col min="492" max="492" width="21" bestFit="1" customWidth="1"/>
    <col min="493" max="493" width="34.42578125" bestFit="1" customWidth="1"/>
    <col min="494" max="494" width="11.140625" bestFit="1" customWidth="1"/>
    <col min="495" max="495" width="5.28515625" bestFit="1" customWidth="1"/>
    <col min="496" max="496" width="14.28515625" bestFit="1" customWidth="1"/>
    <col min="497" max="497" width="33.140625" bestFit="1" customWidth="1"/>
    <col min="498" max="498" width="36.28515625" bestFit="1" customWidth="1"/>
    <col min="499" max="499" width="13.140625" bestFit="1" customWidth="1"/>
    <col min="500" max="500" width="8.28515625" bestFit="1" customWidth="1"/>
    <col min="501" max="501" width="17.28515625" bestFit="1" customWidth="1"/>
    <col min="502" max="502" width="11.140625" bestFit="1" customWidth="1"/>
    <col min="503" max="503" width="6.5703125" bestFit="1" customWidth="1"/>
    <col min="504" max="504" width="14.28515625" bestFit="1" customWidth="1"/>
    <col min="505" max="505" width="8.28515625" bestFit="1" customWidth="1"/>
    <col min="506" max="506" width="17.28515625" bestFit="1" customWidth="1"/>
    <col min="507" max="507" width="11.140625" bestFit="1" customWidth="1"/>
    <col min="508" max="508" width="6.5703125" bestFit="1" customWidth="1"/>
    <col min="509" max="509" width="17.5703125" bestFit="1" customWidth="1"/>
    <col min="510" max="510" width="21" bestFit="1" customWidth="1"/>
    <col min="511" max="511" width="14.28515625" bestFit="1" customWidth="1"/>
    <col min="512" max="512" width="11.140625" bestFit="1" customWidth="1"/>
    <col min="513" max="514" width="5.28515625" bestFit="1" customWidth="1"/>
    <col min="515" max="515" width="14.28515625" bestFit="1" customWidth="1"/>
    <col min="516" max="516" width="5.28515625" bestFit="1" customWidth="1"/>
    <col min="517" max="517" width="14.28515625" bestFit="1" customWidth="1"/>
    <col min="518" max="518" width="32.140625" bestFit="1" customWidth="1"/>
    <col min="519" max="519" width="10.5703125" bestFit="1" customWidth="1"/>
    <col min="520" max="520" width="13.42578125" bestFit="1" customWidth="1"/>
    <col min="521" max="524" width="5.28515625" bestFit="1" customWidth="1"/>
    <col min="525" max="525" width="14.28515625" bestFit="1" customWidth="1"/>
    <col min="526" max="526" width="33.140625" bestFit="1" customWidth="1"/>
    <col min="527" max="527" width="36.28515625" bestFit="1" customWidth="1"/>
    <col min="528" max="528" width="8.28515625" bestFit="1" customWidth="1"/>
    <col min="529" max="529" width="17.28515625" bestFit="1" customWidth="1"/>
    <col min="530" max="530" width="11.140625" bestFit="1" customWidth="1"/>
    <col min="531" max="531" width="6.5703125" bestFit="1" customWidth="1"/>
    <col min="532" max="532" width="17.5703125" bestFit="1" customWidth="1"/>
    <col min="533" max="533" width="14.28515625" bestFit="1" customWidth="1"/>
    <col min="534" max="534" width="34.42578125" bestFit="1" customWidth="1"/>
    <col min="535" max="535" width="11.140625" bestFit="1" customWidth="1"/>
    <col min="536" max="540" width="5.28515625" bestFit="1" customWidth="1"/>
    <col min="541" max="541" width="14.28515625" bestFit="1" customWidth="1"/>
    <col min="542" max="542" width="34.42578125" bestFit="1" customWidth="1"/>
    <col min="543" max="543" width="11.140625" customWidth="1"/>
    <col min="544" max="544" width="5.28515625" bestFit="1" customWidth="1"/>
    <col min="545" max="545" width="14.28515625" bestFit="1" customWidth="1"/>
    <col min="546" max="554" width="5.28515625" bestFit="1" customWidth="1"/>
    <col min="555" max="558" width="6.28515625" bestFit="1" customWidth="1"/>
    <col min="559" max="559" width="14.28515625" bestFit="1" customWidth="1"/>
    <col min="560" max="560" width="24.28515625" bestFit="1" customWidth="1"/>
    <col min="561" max="561" width="18.85546875" bestFit="1" customWidth="1"/>
    <col min="562" max="562" width="16.7109375" bestFit="1" customWidth="1"/>
    <col min="563" max="563" width="33.5703125" bestFit="1" customWidth="1"/>
    <col min="564" max="564" width="29.85546875" bestFit="1" customWidth="1"/>
    <col min="565" max="565" width="36.5703125" bestFit="1" customWidth="1"/>
    <col min="566" max="566" width="30.7109375" bestFit="1" customWidth="1"/>
    <col min="567" max="567" width="37.7109375" bestFit="1" customWidth="1"/>
    <col min="568" max="568" width="36.28515625" bestFit="1" customWidth="1"/>
    <col min="569" max="569" width="33.140625" bestFit="1" customWidth="1"/>
    <col min="570" max="570" width="36.28515625" bestFit="1" customWidth="1"/>
    <col min="571" max="571" width="11.28515625" bestFit="1" customWidth="1"/>
    <col min="572" max="572" width="8.28515625" bestFit="1" customWidth="1"/>
    <col min="573" max="573" width="17.28515625" bestFit="1" customWidth="1"/>
    <col min="574" max="574" width="11.140625" bestFit="1" customWidth="1"/>
    <col min="575" max="575" width="6.5703125" bestFit="1" customWidth="1"/>
    <col min="576" max="576" width="17.5703125" bestFit="1" customWidth="1"/>
    <col min="577" max="577" width="21" bestFit="1" customWidth="1"/>
    <col min="578" max="578" width="14.28515625" bestFit="1" customWidth="1"/>
    <col min="579" max="579" width="11.140625" bestFit="1" customWidth="1"/>
    <col min="580" max="581" width="5.28515625" bestFit="1" customWidth="1"/>
    <col min="582" max="582" width="5.28515625" customWidth="1"/>
    <col min="583" max="583" width="14.28515625" bestFit="1" customWidth="1"/>
    <col min="584" max="584" width="5.28515625" bestFit="1" customWidth="1"/>
    <col min="585" max="585" width="14.28515625" bestFit="1" customWidth="1"/>
    <col min="586" max="586" width="17.5703125" bestFit="1" customWidth="1"/>
    <col min="587" max="587" width="21" bestFit="1" customWidth="1"/>
    <col min="588" max="588" width="34.42578125" bestFit="1" customWidth="1"/>
    <col min="589" max="589" width="11.140625" bestFit="1" customWidth="1"/>
    <col min="590" max="590" width="14.28515625" bestFit="1" customWidth="1"/>
    <col min="591" max="591" width="34.42578125" bestFit="1" customWidth="1"/>
    <col min="592" max="592" width="14.28515625" bestFit="1" customWidth="1"/>
    <col min="593" max="596" width="5.28515625" bestFit="1" customWidth="1"/>
    <col min="597" max="597" width="5.28515625" customWidth="1"/>
    <col min="598" max="598" width="14.28515625" bestFit="1" customWidth="1"/>
    <col min="599" max="599" width="5.28515625" bestFit="1" customWidth="1"/>
    <col min="600" max="600" width="14.28515625" bestFit="1" customWidth="1"/>
    <col min="601" max="601" width="5.28515625" bestFit="1" customWidth="1"/>
    <col min="602" max="602" width="14.28515625" bestFit="1" customWidth="1"/>
    <col min="603" max="603" width="11.140625" bestFit="1" customWidth="1"/>
    <col min="604" max="604" width="6.5703125" bestFit="1" customWidth="1"/>
    <col min="605" max="605" width="17.5703125" bestFit="1" customWidth="1"/>
    <col min="606" max="606" width="21" bestFit="1" customWidth="1"/>
    <col min="607" max="607" width="14.28515625" bestFit="1" customWidth="1"/>
    <col min="608" max="608" width="6.5703125" bestFit="1" customWidth="1"/>
    <col min="609" max="609" width="14.28515625" bestFit="1" customWidth="1"/>
    <col min="610" max="610" width="21" bestFit="1" customWidth="1"/>
    <col min="611" max="611" width="34.42578125" bestFit="1" customWidth="1"/>
    <col min="612" max="612" width="11.140625" bestFit="1" customWidth="1"/>
    <col min="613" max="617" width="5.28515625" bestFit="1" customWidth="1"/>
    <col min="618" max="618" width="14.28515625" bestFit="1" customWidth="1"/>
    <col min="619" max="619" width="34.42578125" bestFit="1" customWidth="1"/>
    <col min="620" max="620" width="11.140625" bestFit="1" customWidth="1"/>
    <col min="621" max="621" width="5.28515625" bestFit="1" customWidth="1"/>
    <col min="622" max="622" width="14.28515625" bestFit="1" customWidth="1"/>
    <col min="623" max="623" width="11.140625" bestFit="1" customWidth="1"/>
    <col min="624" max="624" width="6.5703125" bestFit="1" customWidth="1"/>
    <col min="625" max="625" width="17.5703125" bestFit="1" customWidth="1"/>
    <col min="626" max="626" width="21" bestFit="1" customWidth="1"/>
    <col min="627" max="627" width="34.42578125" bestFit="1" customWidth="1"/>
    <col min="628" max="628" width="14.28515625" bestFit="1" customWidth="1"/>
    <col min="629" max="629" width="5.28515625" bestFit="1" customWidth="1"/>
    <col min="630" max="630" width="14.28515625" bestFit="1" customWidth="1"/>
    <col min="631" max="631" width="17.28515625" bestFit="1" customWidth="1"/>
    <col min="632" max="632" width="11.140625" bestFit="1" customWidth="1"/>
    <col min="633" max="633" width="7.5703125" bestFit="1" customWidth="1"/>
    <col min="634" max="634" width="17.5703125" bestFit="1" customWidth="1"/>
    <col min="635" max="635" width="21" bestFit="1" customWidth="1"/>
    <col min="636" max="636" width="34.42578125" bestFit="1" customWidth="1"/>
    <col min="637" max="637" width="11.140625" bestFit="1" customWidth="1"/>
    <col min="638" max="645" width="5.28515625" bestFit="1" customWidth="1"/>
    <col min="646" max="646" width="5.28515625" customWidth="1"/>
    <col min="647" max="647" width="6.28515625" bestFit="1" customWidth="1"/>
    <col min="648" max="648" width="5.28515625" bestFit="1" customWidth="1"/>
    <col min="649" max="649" width="6.28515625" bestFit="1" customWidth="1"/>
    <col min="650" max="650" width="11.140625" bestFit="1" customWidth="1"/>
    <col min="651" max="656" width="5.28515625" bestFit="1" customWidth="1"/>
    <col min="657" max="657" width="14.28515625" bestFit="1" customWidth="1"/>
    <col min="658" max="658" width="13" bestFit="1" customWidth="1"/>
    <col min="659" max="659" width="17.5703125" bestFit="1" customWidth="1"/>
    <col min="660" max="660" width="21" bestFit="1" customWidth="1"/>
    <col min="661" max="661" width="34.42578125" bestFit="1" customWidth="1"/>
    <col min="662" max="662" width="11.140625" bestFit="1" customWidth="1"/>
    <col min="663" max="665" width="5.28515625" bestFit="1" customWidth="1"/>
    <col min="666" max="666" width="36.28515625" bestFit="1" customWidth="1"/>
    <col min="667" max="667" width="13" bestFit="1" customWidth="1"/>
    <col min="668" max="668" width="6.5703125" bestFit="1" customWidth="1"/>
    <col min="669" max="669" width="17.5703125" bestFit="1" customWidth="1"/>
    <col min="670" max="670" width="21" bestFit="1" customWidth="1"/>
    <col min="671" max="671" width="36.28515625" bestFit="1" customWidth="1"/>
    <col min="672" max="672" width="13" bestFit="1" customWidth="1"/>
    <col min="673" max="673" width="36.28515625" bestFit="1" customWidth="1"/>
    <col min="674" max="674" width="13" bestFit="1" customWidth="1"/>
    <col min="675" max="675" width="11.140625" bestFit="1" customWidth="1"/>
    <col min="676" max="676" width="6.5703125" bestFit="1" customWidth="1"/>
    <col min="677" max="677" width="33.140625" bestFit="1" customWidth="1"/>
    <col min="678" max="678" width="36.28515625" bestFit="1" customWidth="1"/>
    <col min="679" max="679" width="17.28515625" bestFit="1" customWidth="1"/>
    <col min="680" max="680" width="11.140625" customWidth="1"/>
    <col min="681" max="681" width="33.140625" bestFit="1" customWidth="1"/>
    <col min="682" max="682" width="36.28515625" bestFit="1" customWidth="1"/>
    <col min="683" max="683" width="8" bestFit="1" customWidth="1"/>
    <col min="684" max="684" width="17.5703125" bestFit="1" customWidth="1"/>
    <col min="685" max="685" width="21" bestFit="1" customWidth="1"/>
    <col min="686" max="686" width="34.42578125" bestFit="1" customWidth="1"/>
    <col min="687" max="687" width="13.5703125" bestFit="1" customWidth="1"/>
    <col min="688" max="688" width="35.140625" bestFit="1" customWidth="1"/>
    <col min="689" max="689" width="15.85546875" bestFit="1" customWidth="1"/>
    <col min="690" max="690" width="18.42578125" bestFit="1" customWidth="1"/>
    <col min="691" max="691" width="11.28515625" bestFit="1" customWidth="1"/>
    <col min="692" max="693" width="11.140625" bestFit="1" customWidth="1"/>
    <col min="694" max="694" width="16" bestFit="1" customWidth="1"/>
    <col min="695" max="695" width="15.28515625" bestFit="1" customWidth="1"/>
    <col min="696" max="696" width="13.7109375" bestFit="1" customWidth="1"/>
    <col min="697" max="697" width="19.140625" bestFit="1" customWidth="1"/>
    <col min="698" max="698" width="16.85546875" bestFit="1" customWidth="1"/>
    <col min="699" max="699" width="17.7109375" bestFit="1" customWidth="1"/>
    <col min="700" max="700" width="15.42578125" bestFit="1" customWidth="1"/>
    <col min="701" max="701" width="14.7109375" bestFit="1" customWidth="1"/>
    <col min="702" max="702" width="12.42578125" bestFit="1" customWidth="1"/>
    <col min="703" max="703" width="20.7109375" bestFit="1" customWidth="1"/>
    <col min="704" max="704" width="18.5703125" bestFit="1" customWidth="1"/>
    <col min="705" max="705" width="22" bestFit="1" customWidth="1"/>
    <col min="706" max="706" width="19.7109375" bestFit="1" customWidth="1"/>
    <col min="707" max="707" width="24.140625" bestFit="1" customWidth="1"/>
    <col min="708" max="708" width="22" bestFit="1" customWidth="1"/>
    <col min="709" max="709" width="17.5703125" bestFit="1" customWidth="1"/>
    <col min="710" max="710" width="15.28515625" bestFit="1" customWidth="1"/>
    <col min="711" max="711" width="16.5703125" bestFit="1" customWidth="1"/>
    <col min="712" max="712" width="14.42578125" bestFit="1" customWidth="1"/>
    <col min="713" max="713" width="36" bestFit="1" customWidth="1"/>
    <col min="714" max="714" width="27.42578125" bestFit="1" customWidth="1"/>
    <col min="715" max="715" width="34.28515625" bestFit="1" customWidth="1"/>
    <col min="716" max="716" width="28.42578125" bestFit="1" customWidth="1"/>
    <col min="717" max="717" width="40.85546875" bestFit="1" customWidth="1"/>
    <col min="718" max="718" width="34" bestFit="1" customWidth="1"/>
    <col min="719" max="719" width="30.85546875" bestFit="1" customWidth="1"/>
    <col min="720" max="720" width="34" bestFit="1" customWidth="1"/>
    <col min="721" max="721" width="12.140625" bestFit="1" customWidth="1"/>
    <col min="722" max="722" width="15" bestFit="1" customWidth="1"/>
    <col min="723" max="724" width="12.140625" bestFit="1" customWidth="1"/>
    <col min="725" max="725" width="15.140625" bestFit="1" customWidth="1"/>
    <col min="726" max="726" width="18.7109375" bestFit="1" customWidth="1"/>
    <col min="727" max="727" width="31.5703125" bestFit="1" customWidth="1"/>
  </cols>
  <sheetData>
    <row r="1" spans="1:61" x14ac:dyDescent="0.25">
      <c r="A1" t="s">
        <v>0</v>
      </c>
      <c r="B1" t="s">
        <v>36</v>
      </c>
      <c r="C1" t="s">
        <v>37</v>
      </c>
      <c r="D1" t="s">
        <v>47</v>
      </c>
      <c r="E1" t="s">
        <v>12</v>
      </c>
      <c r="F1" t="s">
        <v>11</v>
      </c>
      <c r="G1" t="s">
        <v>48</v>
      </c>
      <c r="H1" t="s">
        <v>49</v>
      </c>
      <c r="I1" t="s">
        <v>50</v>
      </c>
      <c r="J1" t="s">
        <v>38</v>
      </c>
      <c r="K1" t="s">
        <v>124</v>
      </c>
      <c r="L1" t="s">
        <v>125</v>
      </c>
      <c r="M1" t="s">
        <v>126</v>
      </c>
      <c r="N1" t="s">
        <v>127</v>
      </c>
      <c r="O1" t="s">
        <v>418</v>
      </c>
      <c r="P1" t="s">
        <v>419</v>
      </c>
      <c r="Q1" t="s">
        <v>420</v>
      </c>
      <c r="R1" t="s">
        <v>421</v>
      </c>
      <c r="S1" t="s">
        <v>366</v>
      </c>
      <c r="T1" t="s">
        <v>367</v>
      </c>
      <c r="U1" t="s">
        <v>128</v>
      </c>
      <c r="V1" t="s">
        <v>129</v>
      </c>
      <c r="W1" t="s">
        <v>163</v>
      </c>
      <c r="X1" t="s">
        <v>164</v>
      </c>
      <c r="Y1" t="s">
        <v>51</v>
      </c>
      <c r="Z1" t="s">
        <v>61</v>
      </c>
      <c r="AA1" t="s">
        <v>130</v>
      </c>
      <c r="AB1" t="s">
        <v>131</v>
      </c>
      <c r="AC1" t="s">
        <v>165</v>
      </c>
      <c r="AD1" t="s">
        <v>166</v>
      </c>
      <c r="AE1" t="s">
        <v>422</v>
      </c>
      <c r="AF1" t="s">
        <v>423</v>
      </c>
      <c r="AG1" t="s">
        <v>88</v>
      </c>
      <c r="AH1" t="s">
        <v>89</v>
      </c>
      <c r="AI1" t="s">
        <v>62</v>
      </c>
      <c r="AJ1" t="s">
        <v>242</v>
      </c>
      <c r="AK1" t="s">
        <v>243</v>
      </c>
      <c r="AL1" t="s">
        <v>240</v>
      </c>
      <c r="AM1" t="s">
        <v>262</v>
      </c>
      <c r="AN1" t="s">
        <v>263</v>
      </c>
      <c r="AO1" t="s">
        <v>299</v>
      </c>
      <c r="AP1" t="s">
        <v>300</v>
      </c>
      <c r="AQ1" t="s">
        <v>171</v>
      </c>
      <c r="AR1" t="s">
        <v>244</v>
      </c>
      <c r="AS1" t="s">
        <v>270</v>
      </c>
      <c r="AT1" t="s">
        <v>52</v>
      </c>
      <c r="AU1" t="s">
        <v>53</v>
      </c>
      <c r="AV1" t="s">
        <v>54</v>
      </c>
      <c r="AW1" t="s">
        <v>117</v>
      </c>
      <c r="AX1" t="s">
        <v>118</v>
      </c>
      <c r="AY1" t="s">
        <v>119</v>
      </c>
      <c r="AZ1" t="s">
        <v>120</v>
      </c>
      <c r="BA1" t="s">
        <v>301</v>
      </c>
      <c r="BB1" t="s">
        <v>302</v>
      </c>
      <c r="BC1" t="s">
        <v>558</v>
      </c>
      <c r="BD1" t="s">
        <v>137</v>
      </c>
      <c r="BE1" t="s">
        <v>232</v>
      </c>
      <c r="BF1" t="s">
        <v>319</v>
      </c>
      <c r="BG1" t="s">
        <v>400</v>
      </c>
      <c r="BH1" t="s">
        <v>401</v>
      </c>
      <c r="BI1" t="s">
        <v>241</v>
      </c>
    </row>
    <row r="2" spans="1:61" x14ac:dyDescent="0.25">
      <c r="E2"/>
      <c r="F2"/>
      <c r="G2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07AD0-00E4-4241-A5B0-E4214F481BD0}">
  <sheetPr codeName="Sheet18">
    <tabColor theme="9"/>
  </sheetPr>
  <dimension ref="A1:BC22"/>
  <sheetViews>
    <sheetView workbookViewId="0">
      <selection sqref="A1:BC22"/>
    </sheetView>
  </sheetViews>
  <sheetFormatPr defaultRowHeight="15" x14ac:dyDescent="0.25"/>
  <cols>
    <col min="1" max="1" width="15.85546875" bestFit="1" customWidth="1"/>
    <col min="2" max="2" width="15.140625" bestFit="1" customWidth="1"/>
    <col min="3" max="3" width="12.42578125" bestFit="1" customWidth="1"/>
    <col min="4" max="4" width="20.7109375" bestFit="1" customWidth="1"/>
    <col min="5" max="5" width="13.5703125" bestFit="1" customWidth="1"/>
    <col min="6" max="7" width="13.140625" bestFit="1" customWidth="1"/>
    <col min="8" max="8" width="18.28515625" bestFit="1" customWidth="1"/>
    <col min="9" max="9" width="17.5703125" style="2" bestFit="1" customWidth="1"/>
    <col min="10" max="10" width="16" bestFit="1" customWidth="1"/>
    <col min="11" max="11" width="21.42578125" bestFit="1" customWidth="1"/>
    <col min="12" max="12" width="19.140625" bestFit="1" customWidth="1"/>
    <col min="13" max="13" width="20" bestFit="1" customWidth="1"/>
    <col min="14" max="14" width="17.7109375" bestFit="1" customWidth="1"/>
    <col min="15" max="15" width="20.42578125" bestFit="1" customWidth="1"/>
    <col min="16" max="16" width="18.140625" bestFit="1" customWidth="1"/>
    <col min="17" max="17" width="28" bestFit="1" customWidth="1"/>
    <col min="18" max="18" width="25.7109375" bestFit="1" customWidth="1"/>
    <col min="19" max="19" width="18" bestFit="1" customWidth="1"/>
    <col min="20" max="20" width="15.85546875" bestFit="1" customWidth="1"/>
    <col min="21" max="21" width="17" bestFit="1" customWidth="1"/>
    <col min="22" max="22" width="14.7109375" bestFit="1" customWidth="1"/>
    <col min="23" max="23" width="23" bestFit="1" customWidth="1"/>
    <col min="24" max="24" width="20.85546875" bestFit="1" customWidth="1"/>
    <col min="25" max="25" width="26.42578125" bestFit="1" customWidth="1"/>
    <col min="26" max="26" width="24.28515625" bestFit="1" customWidth="1"/>
    <col min="27" max="27" width="20" bestFit="1" customWidth="1"/>
    <col min="28" max="28" width="17.7109375" bestFit="1" customWidth="1"/>
    <col min="29" max="29" width="20.42578125" bestFit="1" customWidth="1"/>
    <col min="30" max="30" width="18.140625" bestFit="1" customWidth="1"/>
    <col min="31" max="31" width="20.7109375" bestFit="1" customWidth="1"/>
    <col min="32" max="32" width="18.42578125" bestFit="1" customWidth="1"/>
    <col min="33" max="33" width="42.28515625" bestFit="1" customWidth="1"/>
    <col min="34" max="34" width="40" bestFit="1" customWidth="1"/>
    <col min="35" max="35" width="32.85546875" bestFit="1" customWidth="1"/>
    <col min="36" max="36" width="29.140625" bestFit="1" customWidth="1"/>
    <col min="37" max="37" width="32" bestFit="1" customWidth="1"/>
    <col min="38" max="38" width="27.28515625" bestFit="1" customWidth="1"/>
    <col min="39" max="39" width="32.7109375" bestFit="1" customWidth="1"/>
    <col min="40" max="40" width="28.140625" bestFit="1" customWidth="1"/>
    <col min="41" max="41" width="40" bestFit="1" customWidth="1"/>
    <col min="42" max="42" width="36.42578125" bestFit="1" customWidth="1"/>
    <col min="43" max="43" width="33.140625" bestFit="1" customWidth="1"/>
    <col min="44" max="44" width="15.42578125" bestFit="1" customWidth="1"/>
    <col min="45" max="45" width="13.140625" bestFit="1" customWidth="1"/>
    <col min="46" max="46" width="10" bestFit="1" customWidth="1"/>
    <col min="47" max="47" width="17.28515625" bestFit="1" customWidth="1"/>
    <col min="48" max="48" width="11.140625" customWidth="1"/>
    <col min="49" max="49" width="9" bestFit="1" customWidth="1"/>
    <col min="50" max="50" width="17.5703125" bestFit="1" customWidth="1"/>
    <col min="51" max="51" width="21" bestFit="1" customWidth="1"/>
    <col min="52" max="52" width="34.42578125" bestFit="1" customWidth="1"/>
    <col min="53" max="53" width="27.42578125" bestFit="1" customWidth="1"/>
    <col min="54" max="54" width="27.140625" bestFit="1" customWidth="1"/>
    <col min="55" max="55" width="24.140625" bestFit="1" customWidth="1"/>
    <col min="56" max="56" width="9" bestFit="1" customWidth="1"/>
    <col min="57" max="57" width="17.5703125" bestFit="1" customWidth="1"/>
    <col min="58" max="58" width="21" bestFit="1" customWidth="1"/>
    <col min="59" max="59" width="34.42578125" bestFit="1" customWidth="1"/>
    <col min="60" max="60" width="18.7109375" bestFit="1" customWidth="1"/>
    <col min="61" max="61" width="10" bestFit="1" customWidth="1"/>
    <col min="62" max="62" width="17.28515625" bestFit="1" customWidth="1"/>
    <col min="63" max="63" width="11.140625" bestFit="1" customWidth="1"/>
    <col min="64" max="64" width="9" bestFit="1" customWidth="1"/>
    <col min="65" max="65" width="17.5703125" bestFit="1" customWidth="1"/>
    <col min="66" max="66" width="21" bestFit="1" customWidth="1"/>
    <col min="67" max="67" width="34.42578125" bestFit="1" customWidth="1"/>
    <col min="68" max="68" width="18.7109375" customWidth="1"/>
    <col min="69" max="69" width="17.28515625" bestFit="1" customWidth="1"/>
    <col min="70" max="70" width="11.140625" bestFit="1" customWidth="1"/>
    <col min="71" max="71" width="9" bestFit="1" customWidth="1"/>
    <col min="72" max="72" width="17.5703125" bestFit="1" customWidth="1"/>
    <col min="73" max="73" width="21" bestFit="1" customWidth="1"/>
    <col min="74" max="74" width="34.42578125" bestFit="1" customWidth="1"/>
    <col min="75" max="75" width="18.7109375" customWidth="1"/>
    <col min="76" max="76" width="11.140625" bestFit="1" customWidth="1"/>
    <col min="77" max="77" width="10" bestFit="1" customWidth="1"/>
    <col min="78" max="78" width="17.5703125" bestFit="1" customWidth="1"/>
    <col min="79" max="79" width="21" bestFit="1" customWidth="1"/>
    <col min="80" max="80" width="34.42578125" bestFit="1" customWidth="1"/>
    <col min="81" max="81" width="18.7109375" bestFit="1" customWidth="1"/>
    <col min="82" max="82" width="11.140625" bestFit="1" customWidth="1"/>
    <col min="83" max="83" width="10" bestFit="1" customWidth="1"/>
    <col min="84" max="84" width="17.5703125" bestFit="1" customWidth="1"/>
    <col min="85" max="85" width="21.85546875" bestFit="1" customWidth="1"/>
    <col min="86" max="86" width="21" bestFit="1" customWidth="1"/>
    <col min="87" max="87" width="34.42578125" bestFit="1" customWidth="1"/>
    <col min="88" max="88" width="18.7109375" customWidth="1"/>
    <col min="89" max="89" width="9" bestFit="1" customWidth="1"/>
    <col min="90" max="90" width="17.5703125" bestFit="1" customWidth="1"/>
    <col min="91" max="91" width="21.85546875" bestFit="1" customWidth="1"/>
    <col min="92" max="92" width="21" customWidth="1"/>
    <col min="93" max="93" width="34.42578125" bestFit="1" customWidth="1"/>
    <col min="94" max="94" width="18.7109375" bestFit="1" customWidth="1"/>
    <col min="95" max="95" width="34.42578125" customWidth="1"/>
    <col min="96" max="97" width="18.7109375" bestFit="1" customWidth="1"/>
    <col min="98" max="98" width="17.5703125" customWidth="1"/>
    <col min="99" max="99" width="21.85546875" bestFit="1" customWidth="1"/>
    <col min="100" max="100" width="21" bestFit="1" customWidth="1"/>
    <col min="101" max="101" width="34.42578125" bestFit="1" customWidth="1"/>
    <col min="102" max="102" width="18.7109375" bestFit="1" customWidth="1"/>
    <col min="103" max="103" width="21.85546875" bestFit="1" customWidth="1"/>
    <col min="104" max="104" width="21" bestFit="1" customWidth="1"/>
    <col min="105" max="105" width="34.42578125" bestFit="1" customWidth="1"/>
    <col min="106" max="106" width="18.7109375" bestFit="1" customWidth="1"/>
    <col min="107" max="107" width="11.140625" bestFit="1" customWidth="1"/>
    <col min="108" max="108" width="10" bestFit="1" customWidth="1"/>
    <col min="109" max="109" width="17.5703125" bestFit="1" customWidth="1"/>
    <col min="110" max="110" width="21.85546875" bestFit="1" customWidth="1"/>
    <col min="111" max="111" width="21" bestFit="1" customWidth="1"/>
    <col min="112" max="112" width="34.42578125" bestFit="1" customWidth="1"/>
    <col min="113" max="113" width="18.7109375" bestFit="1" customWidth="1"/>
    <col min="114" max="114" width="21.85546875" bestFit="1" customWidth="1"/>
    <col min="115" max="115" width="21" customWidth="1"/>
    <col min="116" max="116" width="34.42578125" bestFit="1" customWidth="1"/>
    <col min="117" max="117" width="18.7109375" bestFit="1" customWidth="1"/>
    <col min="118" max="118" width="34.42578125" bestFit="1" customWidth="1"/>
    <col min="119" max="119" width="18.7109375" bestFit="1" customWidth="1"/>
    <col min="120" max="120" width="34.42578125" bestFit="1" customWidth="1"/>
    <col min="121" max="121" width="18.7109375" bestFit="1" customWidth="1"/>
    <col min="122" max="122" width="21.85546875" bestFit="1" customWidth="1"/>
    <col min="123" max="123" width="21" bestFit="1" customWidth="1"/>
    <col min="124" max="124" width="34.42578125" bestFit="1" customWidth="1"/>
    <col min="125" max="125" width="18.7109375" bestFit="1" customWidth="1"/>
    <col min="126" max="126" width="10" bestFit="1" customWidth="1"/>
    <col min="127" max="127" width="17.5703125" bestFit="1" customWidth="1"/>
    <col min="128" max="128" width="21.85546875" bestFit="1" customWidth="1"/>
    <col min="129" max="129" width="21" bestFit="1" customWidth="1"/>
    <col min="130" max="130" width="34.42578125" bestFit="1" customWidth="1"/>
    <col min="131" max="131" width="18.7109375" bestFit="1" customWidth="1"/>
    <col min="132" max="132" width="21.85546875" bestFit="1" customWidth="1"/>
    <col min="133" max="133" width="21" bestFit="1" customWidth="1"/>
    <col min="134" max="134" width="34.42578125" bestFit="1" customWidth="1"/>
    <col min="135" max="135" width="18.7109375" customWidth="1"/>
    <col min="136" max="136" width="32.140625" bestFit="1" customWidth="1"/>
    <col min="137" max="137" width="16.42578125" bestFit="1" customWidth="1"/>
    <col min="138" max="138" width="8.85546875" bestFit="1" customWidth="1"/>
    <col min="139" max="139" width="10" bestFit="1" customWidth="1"/>
    <col min="140" max="140" width="15.28515625" bestFit="1" customWidth="1"/>
    <col min="141" max="141" width="19.5703125" bestFit="1" customWidth="1"/>
    <col min="142" max="142" width="18.7109375" customWidth="1"/>
    <col min="143" max="143" width="32.140625" bestFit="1" customWidth="1"/>
    <col min="144" max="144" width="16.42578125" bestFit="1" customWidth="1"/>
    <col min="145" max="145" width="32.140625" bestFit="1" customWidth="1"/>
    <col min="146" max="146" width="16.42578125" bestFit="1" customWidth="1"/>
    <col min="147" max="147" width="19.5703125" bestFit="1" customWidth="1"/>
    <col min="148" max="148" width="18.7109375" bestFit="1" customWidth="1"/>
    <col min="149" max="149" width="32.140625" bestFit="1" customWidth="1"/>
    <col min="150" max="150" width="16.42578125" bestFit="1" customWidth="1"/>
    <col min="151" max="151" width="9" bestFit="1" customWidth="1"/>
    <col min="152" max="152" width="15.28515625" bestFit="1" customWidth="1"/>
    <col min="153" max="153" width="19.5703125" bestFit="1" customWidth="1"/>
    <col min="154" max="154" width="18.7109375" bestFit="1" customWidth="1"/>
    <col min="155" max="155" width="32.140625" bestFit="1" customWidth="1"/>
    <col min="156" max="156" width="16.42578125" customWidth="1"/>
    <col min="157" max="157" width="19.5703125" bestFit="1" customWidth="1"/>
    <col min="158" max="158" width="18.7109375" bestFit="1" customWidth="1"/>
    <col min="159" max="159" width="32.140625" bestFit="1" customWidth="1"/>
    <col min="160" max="160" width="16.42578125" customWidth="1"/>
    <col min="161" max="161" width="34.42578125" bestFit="1" customWidth="1"/>
    <col min="162" max="162" width="18.7109375" customWidth="1"/>
    <col min="163" max="163" width="17.28515625" bestFit="1" customWidth="1"/>
    <col min="164" max="164" width="11.140625" customWidth="1"/>
    <col min="165" max="165" width="9" bestFit="1" customWidth="1"/>
    <col min="166" max="166" width="17.5703125" bestFit="1" customWidth="1"/>
    <col min="167" max="167" width="21.85546875" bestFit="1" customWidth="1"/>
    <col min="168" max="168" width="21" bestFit="1" customWidth="1"/>
    <col min="169" max="169" width="34.42578125" bestFit="1" customWidth="1"/>
    <col min="170" max="170" width="18.7109375" bestFit="1" customWidth="1"/>
    <col min="171" max="171" width="9" bestFit="1" customWidth="1"/>
    <col min="172" max="172" width="17.5703125" bestFit="1" customWidth="1"/>
    <col min="173" max="173" width="21.85546875" bestFit="1" customWidth="1"/>
    <col min="174" max="174" width="21" bestFit="1" customWidth="1"/>
    <col min="175" max="175" width="34.42578125" bestFit="1" customWidth="1"/>
    <col min="176" max="176" width="18.7109375" bestFit="1" customWidth="1"/>
    <col min="177" max="177" width="8" bestFit="1" customWidth="1"/>
    <col min="178" max="178" width="17.5703125" bestFit="1" customWidth="1"/>
    <col min="179" max="179" width="21.85546875" bestFit="1" customWidth="1"/>
    <col min="180" max="180" width="21" bestFit="1" customWidth="1"/>
    <col min="181" max="181" width="34.42578125" bestFit="1" customWidth="1"/>
    <col min="182" max="182" width="18.7109375" bestFit="1" customWidth="1"/>
    <col min="183" max="183" width="33.140625" bestFit="1" customWidth="1"/>
    <col min="184" max="184" width="15.42578125" bestFit="1" customWidth="1"/>
    <col min="185" max="185" width="13.140625" bestFit="1" customWidth="1"/>
    <col min="186" max="186" width="11.28515625" bestFit="1" customWidth="1"/>
    <col min="187" max="187" width="10" bestFit="1" customWidth="1"/>
    <col min="188" max="188" width="17.28515625" bestFit="1" customWidth="1"/>
    <col min="189" max="189" width="11.140625" bestFit="1" customWidth="1"/>
    <col min="190" max="190" width="10" bestFit="1" customWidth="1"/>
    <col min="191" max="191" width="17.5703125" bestFit="1" customWidth="1"/>
    <col min="192" max="192" width="21.85546875" bestFit="1" customWidth="1"/>
    <col min="193" max="193" width="21" bestFit="1" customWidth="1"/>
    <col min="194" max="194" width="34.42578125" bestFit="1" customWidth="1"/>
    <col min="195" max="195" width="18.7109375" bestFit="1" customWidth="1"/>
    <col min="196" max="196" width="19.5703125" bestFit="1" customWidth="1"/>
    <col min="197" max="197" width="18.7109375" bestFit="1" customWidth="1"/>
    <col min="198" max="198" width="32.140625" bestFit="1" customWidth="1"/>
    <col min="199" max="199" width="16.42578125" bestFit="1" customWidth="1"/>
    <col min="200" max="200" width="15" bestFit="1" customWidth="1"/>
    <col min="201" max="201" width="8.85546875" customWidth="1"/>
    <col min="202" max="202" width="9" bestFit="1" customWidth="1"/>
    <col min="203" max="203" width="15.28515625" bestFit="1" customWidth="1"/>
    <col min="204" max="204" width="19.5703125" bestFit="1" customWidth="1"/>
    <col min="205" max="205" width="18.7109375" bestFit="1" customWidth="1"/>
    <col min="206" max="206" width="32.140625" bestFit="1" customWidth="1"/>
    <col min="207" max="207" width="16.42578125" bestFit="1" customWidth="1"/>
    <col min="208" max="208" width="10" bestFit="1" customWidth="1"/>
    <col min="209" max="209" width="15.28515625" bestFit="1" customWidth="1"/>
    <col min="210" max="210" width="19.5703125" bestFit="1" customWidth="1"/>
    <col min="211" max="211" width="18.7109375" bestFit="1" customWidth="1"/>
    <col min="212" max="212" width="32.140625" bestFit="1" customWidth="1"/>
    <col min="213" max="213" width="16.42578125" bestFit="1" customWidth="1"/>
    <col min="214" max="214" width="32.140625" bestFit="1" customWidth="1"/>
    <col min="215" max="215" width="16.42578125" bestFit="1" customWidth="1"/>
    <col min="216" max="216" width="19.5703125" bestFit="1" customWidth="1"/>
    <col min="217" max="217" width="18.7109375" bestFit="1" customWidth="1"/>
    <col min="218" max="218" width="32.140625" bestFit="1" customWidth="1"/>
    <col min="219" max="219" width="16.42578125" bestFit="1" customWidth="1"/>
    <col min="220" max="220" width="34.42578125" bestFit="1" customWidth="1"/>
    <col min="221" max="221" width="18.7109375" bestFit="1" customWidth="1"/>
    <col min="222" max="222" width="9" bestFit="1" customWidth="1"/>
    <col min="223" max="223" width="17.5703125" bestFit="1" customWidth="1"/>
    <col min="224" max="224" width="21.85546875" bestFit="1" customWidth="1"/>
    <col min="225" max="225" width="21" bestFit="1" customWidth="1"/>
    <col min="226" max="226" width="34.42578125" bestFit="1" customWidth="1"/>
    <col min="227" max="227" width="18.7109375" bestFit="1" customWidth="1"/>
    <col min="228" max="228" width="10" bestFit="1" customWidth="1"/>
    <col min="229" max="229" width="17.28515625" bestFit="1" customWidth="1"/>
    <col min="230" max="230" width="11.140625" bestFit="1" customWidth="1"/>
    <col min="231" max="231" width="10" bestFit="1" customWidth="1"/>
    <col min="232" max="232" width="17.5703125" bestFit="1" customWidth="1"/>
    <col min="233" max="233" width="21.85546875" bestFit="1" customWidth="1"/>
    <col min="234" max="234" width="21" bestFit="1" customWidth="1"/>
    <col min="235" max="235" width="34.42578125" bestFit="1" customWidth="1"/>
    <col min="236" max="236" width="18.7109375" bestFit="1" customWidth="1"/>
    <col min="237" max="237" width="11.28515625" bestFit="1" customWidth="1"/>
    <col min="238" max="238" width="10" bestFit="1" customWidth="1"/>
    <col min="239" max="239" width="17.28515625" bestFit="1" customWidth="1"/>
    <col min="240" max="240" width="11.140625" bestFit="1" customWidth="1"/>
    <col min="241" max="241" width="10" bestFit="1" customWidth="1"/>
    <col min="242" max="242" width="17.5703125" customWidth="1"/>
    <col min="243" max="243" width="21.85546875" bestFit="1" customWidth="1"/>
    <col min="244" max="244" width="21" bestFit="1" customWidth="1"/>
    <col min="245" max="245" width="34.42578125" bestFit="1" customWidth="1"/>
    <col min="246" max="246" width="18.7109375" bestFit="1" customWidth="1"/>
    <col min="247" max="247" width="21.85546875" bestFit="1" customWidth="1"/>
    <col min="248" max="248" width="21" bestFit="1" customWidth="1"/>
    <col min="249" max="249" width="34.42578125" bestFit="1" customWidth="1"/>
    <col min="250" max="250" width="18.7109375" bestFit="1" customWidth="1"/>
    <col min="251" max="251" width="10" bestFit="1" customWidth="1"/>
    <col min="252" max="252" width="17.5703125" bestFit="1" customWidth="1"/>
    <col min="253" max="253" width="21.85546875" bestFit="1" customWidth="1"/>
    <col min="254" max="254" width="21" bestFit="1" customWidth="1"/>
    <col min="255" max="255" width="34.42578125" bestFit="1" customWidth="1"/>
    <col min="256" max="256" width="18.7109375" bestFit="1" customWidth="1"/>
    <col min="257" max="257" width="38.140625" bestFit="1" customWidth="1"/>
    <col min="258" max="258" width="13.140625" bestFit="1" customWidth="1"/>
    <col min="259" max="259" width="10" bestFit="1" customWidth="1"/>
    <col min="260" max="260" width="17.28515625" bestFit="1" customWidth="1"/>
    <col min="261" max="261" width="11.140625" bestFit="1" customWidth="1"/>
    <col min="262" max="262" width="10" bestFit="1" customWidth="1"/>
    <col min="263" max="263" width="17.5703125" bestFit="1" customWidth="1"/>
    <col min="264" max="264" width="21.85546875" bestFit="1" customWidth="1"/>
    <col min="265" max="265" width="21" bestFit="1" customWidth="1"/>
    <col min="266" max="266" width="34.42578125" bestFit="1" customWidth="1"/>
    <col min="267" max="267" width="18.7109375" bestFit="1" customWidth="1"/>
    <col min="268" max="268" width="21.85546875" bestFit="1" customWidth="1"/>
    <col min="269" max="269" width="21" bestFit="1" customWidth="1"/>
    <col min="270" max="270" width="34.42578125" customWidth="1"/>
    <col min="271" max="272" width="18.7109375" bestFit="1" customWidth="1"/>
    <col min="273" max="273" width="21.85546875" bestFit="1" customWidth="1"/>
    <col min="274" max="274" width="21" bestFit="1" customWidth="1"/>
    <col min="275" max="275" width="34.42578125" bestFit="1" customWidth="1"/>
    <col min="276" max="276" width="18.7109375" customWidth="1"/>
    <col min="277" max="277" width="21" bestFit="1" customWidth="1"/>
    <col min="278" max="278" width="34.42578125" bestFit="1" customWidth="1"/>
    <col min="279" max="279" width="18.7109375" bestFit="1" customWidth="1"/>
    <col min="280" max="280" width="34.42578125" bestFit="1" customWidth="1"/>
    <col min="281" max="281" width="18.7109375" bestFit="1" customWidth="1"/>
    <col min="282" max="282" width="17.28515625" customWidth="1"/>
    <col min="283" max="283" width="11.140625" bestFit="1" customWidth="1"/>
    <col min="284" max="284" width="10" bestFit="1" customWidth="1"/>
    <col min="285" max="285" width="17.5703125" bestFit="1" customWidth="1"/>
    <col min="286" max="286" width="21.85546875" bestFit="1" customWidth="1"/>
    <col min="287" max="287" width="21" bestFit="1" customWidth="1"/>
    <col min="288" max="288" width="34.42578125" bestFit="1" customWidth="1"/>
    <col min="289" max="289" width="18.7109375" bestFit="1" customWidth="1"/>
    <col min="290" max="290" width="11.140625" customWidth="1"/>
    <col min="291" max="291" width="10" bestFit="1" customWidth="1"/>
    <col min="292" max="292" width="17.5703125" bestFit="1" customWidth="1"/>
    <col min="293" max="293" width="21.85546875" bestFit="1" customWidth="1"/>
    <col min="294" max="294" width="21" bestFit="1" customWidth="1"/>
    <col min="295" max="295" width="34.42578125" bestFit="1" customWidth="1"/>
    <col min="296" max="296" width="18.7109375" bestFit="1" customWidth="1"/>
    <col min="297" max="297" width="10" bestFit="1" customWidth="1"/>
    <col min="298" max="298" width="17.5703125" bestFit="1" customWidth="1"/>
    <col min="299" max="299" width="21.85546875" bestFit="1" customWidth="1"/>
    <col min="300" max="300" width="21" bestFit="1" customWidth="1"/>
    <col min="301" max="301" width="34.42578125" bestFit="1" customWidth="1"/>
    <col min="302" max="302" width="18.7109375" bestFit="1" customWidth="1"/>
    <col min="303" max="303" width="10" bestFit="1" customWidth="1"/>
    <col min="304" max="304" width="17.28515625" bestFit="1" customWidth="1"/>
    <col min="305" max="305" width="11.140625" customWidth="1"/>
    <col min="306" max="306" width="10" bestFit="1" customWidth="1"/>
    <col min="307" max="307" width="17.5703125" bestFit="1" customWidth="1"/>
    <col min="308" max="308" width="21.85546875" bestFit="1" customWidth="1"/>
    <col min="309" max="309" width="21" bestFit="1" customWidth="1"/>
    <col min="310" max="310" width="34.42578125" bestFit="1" customWidth="1"/>
    <col min="311" max="311" width="18.7109375" bestFit="1" customWidth="1"/>
    <col min="312" max="312" width="10" bestFit="1" customWidth="1"/>
    <col min="313" max="313" width="17.5703125" bestFit="1" customWidth="1"/>
    <col min="314" max="314" width="21.85546875" bestFit="1" customWidth="1"/>
    <col min="315" max="315" width="21" bestFit="1" customWidth="1"/>
    <col min="316" max="316" width="34.42578125" bestFit="1" customWidth="1"/>
    <col min="317" max="317" width="18.7109375" bestFit="1" customWidth="1"/>
    <col min="318" max="318" width="17.5703125" bestFit="1" customWidth="1"/>
    <col min="319" max="319" width="21.85546875" bestFit="1" customWidth="1"/>
    <col min="320" max="320" width="21" bestFit="1" customWidth="1"/>
    <col min="321" max="321" width="34.42578125" bestFit="1" customWidth="1"/>
    <col min="322" max="322" width="18.7109375" bestFit="1" customWidth="1"/>
    <col min="323" max="323" width="13.140625" bestFit="1" customWidth="1"/>
    <col min="324" max="324" width="10" bestFit="1" customWidth="1"/>
    <col min="325" max="325" width="17.28515625" bestFit="1" customWidth="1"/>
    <col min="326" max="326" width="11.140625" bestFit="1" customWidth="1"/>
    <col min="327" max="327" width="10" bestFit="1" customWidth="1"/>
    <col min="328" max="328" width="17.5703125" bestFit="1" customWidth="1"/>
    <col min="329" max="329" width="21.85546875" bestFit="1" customWidth="1"/>
    <col min="330" max="330" width="21" bestFit="1" customWidth="1"/>
    <col min="331" max="331" width="34.42578125" bestFit="1" customWidth="1"/>
    <col min="332" max="332" width="18.7109375" customWidth="1"/>
    <col min="333" max="333" width="30.7109375" bestFit="1" customWidth="1"/>
    <col min="334" max="334" width="29.5703125" bestFit="1" customWidth="1"/>
    <col min="335" max="335" width="25.85546875" bestFit="1" customWidth="1"/>
    <col min="336" max="336" width="33.140625" bestFit="1" customWidth="1"/>
    <col min="337" max="337" width="13.140625" bestFit="1" customWidth="1"/>
    <col min="338" max="338" width="10" bestFit="1" customWidth="1"/>
    <col min="339" max="339" width="17.28515625" bestFit="1" customWidth="1"/>
    <col min="340" max="340" width="11.140625" bestFit="1" customWidth="1"/>
    <col min="341" max="341" width="10" bestFit="1" customWidth="1"/>
    <col min="342" max="342" width="17.5703125" bestFit="1" customWidth="1"/>
    <col min="343" max="343" width="21.85546875" bestFit="1" customWidth="1"/>
    <col min="344" max="344" width="21" bestFit="1" customWidth="1"/>
    <col min="345" max="345" width="34.42578125" customWidth="1"/>
    <col min="346" max="347" width="18.7109375" bestFit="1" customWidth="1"/>
    <col min="348" max="348" width="21.85546875" bestFit="1" customWidth="1"/>
    <col min="349" max="349" width="21" bestFit="1" customWidth="1"/>
    <col min="350" max="350" width="34.42578125" bestFit="1" customWidth="1"/>
    <col min="351" max="351" width="18.7109375" customWidth="1"/>
    <col min="352" max="352" width="17.5703125" bestFit="1" customWidth="1"/>
    <col min="353" max="353" width="21.85546875" bestFit="1" customWidth="1"/>
    <col min="354" max="354" width="21" bestFit="1" customWidth="1"/>
    <col min="355" max="355" width="34.42578125" bestFit="1" customWidth="1"/>
    <col min="356" max="356" width="18.7109375" bestFit="1" customWidth="1"/>
    <col min="357" max="357" width="10" bestFit="1" customWidth="1"/>
    <col min="358" max="358" width="17.5703125" bestFit="1" customWidth="1"/>
    <col min="359" max="359" width="21.85546875" bestFit="1" customWidth="1"/>
    <col min="360" max="360" width="21" bestFit="1" customWidth="1"/>
    <col min="361" max="361" width="34.42578125" customWidth="1"/>
    <col min="362" max="363" width="18.7109375" bestFit="1" customWidth="1"/>
    <col min="364" max="364" width="21.85546875" bestFit="1" customWidth="1"/>
    <col min="365" max="365" width="21" bestFit="1" customWidth="1"/>
    <col min="366" max="366" width="34.42578125" bestFit="1" customWidth="1"/>
    <col min="367" max="367" width="18.7109375" customWidth="1"/>
    <col min="368" max="368" width="21" bestFit="1" customWidth="1"/>
    <col min="369" max="369" width="34.42578125" bestFit="1" customWidth="1"/>
    <col min="370" max="370" width="18.7109375" bestFit="1" customWidth="1"/>
    <col min="371" max="371" width="34.42578125" bestFit="1" customWidth="1"/>
    <col min="372" max="372" width="18.7109375" bestFit="1" customWidth="1"/>
    <col min="373" max="373" width="34.42578125" bestFit="1" customWidth="1"/>
    <col min="374" max="374" width="18.7109375" bestFit="1" customWidth="1"/>
    <col min="375" max="375" width="21.85546875" bestFit="1" customWidth="1"/>
    <col min="376" max="376" width="21" bestFit="1" customWidth="1"/>
    <col min="377" max="377" width="34.42578125" bestFit="1" customWidth="1"/>
    <col min="378" max="378" width="18.7109375" bestFit="1" customWidth="1"/>
    <col min="379" max="379" width="17.5703125" customWidth="1"/>
    <col min="380" max="380" width="21.85546875" bestFit="1" customWidth="1"/>
    <col min="381" max="381" width="21" bestFit="1" customWidth="1"/>
    <col min="382" max="382" width="34.42578125" bestFit="1" customWidth="1"/>
    <col min="383" max="383" width="18.7109375" bestFit="1" customWidth="1"/>
    <col min="384" max="384" width="21.85546875" bestFit="1" customWidth="1"/>
    <col min="385" max="385" width="21" bestFit="1" customWidth="1"/>
    <col min="386" max="386" width="34.42578125" bestFit="1" customWidth="1"/>
    <col min="387" max="387" width="18.7109375" bestFit="1" customWidth="1"/>
    <col min="388" max="388" width="11.140625" bestFit="1" customWidth="1"/>
    <col min="389" max="397" width="5.28515625" bestFit="1" customWidth="1"/>
    <col min="398" max="448" width="6.28515625" bestFit="1" customWidth="1"/>
    <col min="449" max="449" width="20.28515625" bestFit="1" customWidth="1"/>
    <col min="450" max="450" width="21.42578125" bestFit="1" customWidth="1"/>
    <col min="451" max="451" width="19.140625" bestFit="1" customWidth="1"/>
    <col min="452" max="452" width="21.42578125" bestFit="1" customWidth="1"/>
    <col min="453" max="453" width="19.140625" bestFit="1" customWidth="1"/>
    <col min="454" max="454" width="30.42578125" bestFit="1" customWidth="1"/>
    <col min="455" max="455" width="28.28515625" bestFit="1" customWidth="1"/>
    <col min="456" max="456" width="28" bestFit="1" customWidth="1"/>
    <col min="457" max="457" width="25.7109375" bestFit="1" customWidth="1"/>
    <col min="458" max="458" width="16.85546875" bestFit="1" customWidth="1"/>
    <col min="459" max="459" width="14.5703125" bestFit="1" customWidth="1"/>
    <col min="460" max="460" width="25" bestFit="1" customWidth="1"/>
    <col min="461" max="461" width="22.7109375" bestFit="1" customWidth="1"/>
    <col min="462" max="462" width="27.42578125" bestFit="1" customWidth="1"/>
    <col min="463" max="463" width="25.28515625" bestFit="1" customWidth="1"/>
    <col min="464" max="464" width="34" bestFit="1" customWidth="1"/>
    <col min="465" max="465" width="31.7109375" bestFit="1" customWidth="1"/>
    <col min="466" max="466" width="35.5703125" bestFit="1" customWidth="1"/>
    <col min="467" max="467" width="33.42578125" bestFit="1" customWidth="1"/>
    <col min="468" max="468" width="35.42578125" bestFit="1" customWidth="1"/>
    <col min="469" max="469" width="33.28515625" bestFit="1" customWidth="1"/>
    <col min="470" max="470" width="32.85546875" bestFit="1" customWidth="1"/>
    <col min="471" max="471" width="30.5703125" bestFit="1" customWidth="1"/>
    <col min="472" max="472" width="34.42578125" bestFit="1" customWidth="1"/>
    <col min="473" max="473" width="32.28515625" bestFit="1" customWidth="1"/>
    <col min="474" max="474" width="26.28515625" bestFit="1" customWidth="1"/>
    <col min="475" max="475" width="24.140625" bestFit="1" customWidth="1"/>
    <col min="476" max="476" width="34.28515625" bestFit="1" customWidth="1"/>
    <col min="477" max="477" width="32.140625" bestFit="1" customWidth="1"/>
    <col min="478" max="478" width="32.85546875" bestFit="1" customWidth="1"/>
    <col min="479" max="479" width="30.5703125" bestFit="1" customWidth="1"/>
    <col min="480" max="480" width="34.42578125" bestFit="1" customWidth="1"/>
    <col min="481" max="481" width="32.28515625" bestFit="1" customWidth="1"/>
    <col min="482" max="482" width="34.28515625" bestFit="1" customWidth="1"/>
    <col min="483" max="483" width="32.140625" bestFit="1" customWidth="1"/>
    <col min="484" max="484" width="32.85546875" bestFit="1" customWidth="1"/>
    <col min="485" max="485" width="30.5703125" bestFit="1" customWidth="1"/>
    <col min="486" max="486" width="34.28515625" bestFit="1" customWidth="1"/>
    <col min="487" max="487" width="32.140625" bestFit="1" customWidth="1"/>
    <col min="488" max="488" width="32.85546875" bestFit="1" customWidth="1"/>
    <col min="489" max="489" width="30.5703125" bestFit="1" customWidth="1"/>
    <col min="490" max="490" width="34.42578125" bestFit="1" customWidth="1"/>
    <col min="491" max="491" width="32.28515625" bestFit="1" customWidth="1"/>
    <col min="492" max="492" width="34.28515625" bestFit="1" customWidth="1"/>
    <col min="493" max="493" width="32.140625" bestFit="1" customWidth="1"/>
    <col min="494" max="494" width="34.42578125" bestFit="1" customWidth="1"/>
    <col min="495" max="495" width="32.28515625" bestFit="1" customWidth="1"/>
    <col min="496" max="496" width="34.42578125" bestFit="1" customWidth="1"/>
    <col min="497" max="497" width="32.28515625" bestFit="1" customWidth="1"/>
    <col min="498" max="498" width="27.28515625" bestFit="1" customWidth="1"/>
    <col min="499" max="499" width="25.140625" bestFit="1" customWidth="1"/>
    <col min="500" max="500" width="35.42578125" bestFit="1" customWidth="1"/>
    <col min="501" max="501" width="33.28515625" bestFit="1" customWidth="1"/>
    <col min="502" max="502" width="34.28515625" bestFit="1" customWidth="1"/>
    <col min="503" max="503" width="32.140625" bestFit="1" customWidth="1"/>
    <col min="504" max="504" width="35.42578125" bestFit="1" customWidth="1"/>
    <col min="505" max="505" width="33.28515625" bestFit="1" customWidth="1"/>
    <col min="506" max="506" width="36.28515625" bestFit="1" customWidth="1"/>
    <col min="507" max="507" width="29" bestFit="1" customWidth="1"/>
    <col min="508" max="508" width="41" bestFit="1" customWidth="1"/>
    <col min="509" max="509" width="34.140625" bestFit="1" customWidth="1"/>
    <col min="510" max="510" width="38.7109375" bestFit="1" customWidth="1"/>
    <col min="511" max="511" width="35" bestFit="1" customWidth="1"/>
    <col min="512" max="512" width="30.42578125" bestFit="1" customWidth="1"/>
    <col min="513" max="513" width="26.7109375" bestFit="1" customWidth="1"/>
    <col min="514" max="514" width="32.28515625" bestFit="1" customWidth="1"/>
    <col min="515" max="515" width="27.5703125" bestFit="1" customWidth="1"/>
    <col min="516" max="516" width="23" bestFit="1" customWidth="1"/>
    <col min="517" max="517" width="29.28515625" bestFit="1" customWidth="1"/>
    <col min="518" max="518" width="25.5703125" bestFit="1" customWidth="1"/>
    <col min="519" max="519" width="31" bestFit="1" customWidth="1"/>
    <col min="520" max="520" width="26.42578125" bestFit="1" customWidth="1"/>
    <col min="521" max="521" width="21.85546875" bestFit="1" customWidth="1"/>
    <col min="522" max="522" width="32.140625" bestFit="1" customWidth="1"/>
    <col min="523" max="523" width="27.42578125" bestFit="1" customWidth="1"/>
    <col min="524" max="524" width="30.28515625" bestFit="1" customWidth="1"/>
    <col min="525" max="525" width="26.5703125" bestFit="1" customWidth="1"/>
    <col min="526" max="526" width="22.85546875" bestFit="1" customWidth="1"/>
    <col min="527" max="527" width="33.140625" bestFit="1" customWidth="1"/>
    <col min="528" max="528" width="15.42578125" bestFit="1" customWidth="1"/>
    <col min="529" max="529" width="26.28515625" bestFit="1" customWidth="1"/>
    <col min="530" max="530" width="11.28515625" bestFit="1" customWidth="1"/>
    <col min="531" max="531" width="10" bestFit="1" customWidth="1"/>
    <col min="532" max="532" width="17.28515625" bestFit="1" customWidth="1"/>
    <col min="533" max="533" width="11.140625" bestFit="1" customWidth="1"/>
    <col min="534" max="534" width="10" bestFit="1" customWidth="1"/>
    <col min="535" max="535" width="17.5703125" bestFit="1" customWidth="1"/>
    <col min="536" max="536" width="18.140625" bestFit="1" customWidth="1"/>
    <col min="537" max="537" width="23" bestFit="1" customWidth="1"/>
    <col min="538" max="538" width="20.85546875" bestFit="1" customWidth="1"/>
    <col min="539" max="539" width="42.28515625" bestFit="1" customWidth="1"/>
    <col min="540" max="540" width="40" bestFit="1" customWidth="1"/>
    <col min="541" max="541" width="33.5703125" bestFit="1" customWidth="1"/>
    <col min="542" max="542" width="29.85546875" bestFit="1" customWidth="1"/>
    <col min="543" max="543" width="36.5703125" bestFit="1" customWidth="1"/>
    <col min="544" max="544" width="30.7109375" bestFit="1" customWidth="1"/>
    <col min="545" max="545" width="32.28515625" bestFit="1" customWidth="1"/>
    <col min="546" max="546" width="32.85546875" bestFit="1" customWidth="1"/>
    <col min="547" max="547" width="29.140625" bestFit="1" customWidth="1"/>
    <col min="548" max="548" width="32" bestFit="1" customWidth="1"/>
    <col min="549" max="549" width="27.28515625" bestFit="1" customWidth="1"/>
    <col min="550" max="550" width="33.140625" bestFit="1" customWidth="1"/>
    <col min="551" max="551" width="15.42578125" bestFit="1" customWidth="1"/>
    <col min="552" max="552" width="13.140625" bestFit="1" customWidth="1"/>
    <col min="553" max="553" width="10" bestFit="1" customWidth="1"/>
    <col min="554" max="554" width="17.28515625" bestFit="1" customWidth="1"/>
    <col min="555" max="555" width="11.140625" bestFit="1" customWidth="1"/>
    <col min="556" max="556" width="10" bestFit="1" customWidth="1"/>
    <col min="557" max="557" width="17.5703125" bestFit="1" customWidth="1"/>
    <col min="558" max="558" width="21.85546875" bestFit="1" customWidth="1"/>
    <col min="559" max="559" width="21" bestFit="1" customWidth="1"/>
    <col min="560" max="560" width="34.42578125" bestFit="1" customWidth="1"/>
    <col min="561" max="561" width="18.7109375" bestFit="1" customWidth="1"/>
    <col min="562" max="562" width="11.140625" bestFit="1" customWidth="1"/>
    <col min="563" max="564" width="5.28515625" bestFit="1" customWidth="1"/>
    <col min="565" max="565" width="11.140625" bestFit="1" customWidth="1"/>
    <col min="566" max="566" width="10" bestFit="1" customWidth="1"/>
    <col min="567" max="567" width="17.5703125" bestFit="1" customWidth="1"/>
    <col min="568" max="568" width="21.85546875" bestFit="1" customWidth="1"/>
    <col min="569" max="569" width="21" bestFit="1" customWidth="1"/>
    <col min="570" max="570" width="34.42578125" bestFit="1" customWidth="1"/>
    <col min="571" max="571" width="18.7109375" bestFit="1" customWidth="1"/>
  </cols>
  <sheetData>
    <row r="1" spans="1:55" x14ac:dyDescent="0.25">
      <c r="A1" t="s">
        <v>246</v>
      </c>
      <c r="B1" t="s">
        <v>247</v>
      </c>
      <c r="C1" t="s">
        <v>248</v>
      </c>
      <c r="D1" t="s">
        <v>47</v>
      </c>
      <c r="E1" t="s">
        <v>12</v>
      </c>
      <c r="F1" t="s">
        <v>48</v>
      </c>
      <c r="G1" t="s">
        <v>49</v>
      </c>
      <c r="H1" t="s">
        <v>50</v>
      </c>
      <c r="I1" s="2" t="s">
        <v>249</v>
      </c>
      <c r="J1" t="s">
        <v>51</v>
      </c>
      <c r="K1" t="s">
        <v>124</v>
      </c>
      <c r="L1" t="s">
        <v>125</v>
      </c>
      <c r="M1" t="s">
        <v>126</v>
      </c>
      <c r="N1" t="s">
        <v>127</v>
      </c>
      <c r="O1" t="s">
        <v>418</v>
      </c>
      <c r="P1" t="s">
        <v>419</v>
      </c>
      <c r="Q1" t="s">
        <v>420</v>
      </c>
      <c r="R1" t="s">
        <v>421</v>
      </c>
      <c r="S1" t="s">
        <v>366</v>
      </c>
      <c r="T1" t="s">
        <v>367</v>
      </c>
      <c r="U1" t="s">
        <v>128</v>
      </c>
      <c r="V1" t="s">
        <v>129</v>
      </c>
      <c r="W1" t="s">
        <v>163</v>
      </c>
      <c r="X1" t="s">
        <v>164</v>
      </c>
      <c r="Y1" t="s">
        <v>61</v>
      </c>
      <c r="Z1" t="s">
        <v>62</v>
      </c>
      <c r="AA1" t="s">
        <v>130</v>
      </c>
      <c r="AB1" t="s">
        <v>131</v>
      </c>
      <c r="AC1" t="s">
        <v>165</v>
      </c>
      <c r="AD1" t="s">
        <v>166</v>
      </c>
      <c r="AE1" t="s">
        <v>422</v>
      </c>
      <c r="AF1" t="s">
        <v>423</v>
      </c>
      <c r="AG1" t="s">
        <v>88</v>
      </c>
      <c r="AH1" t="s">
        <v>89</v>
      </c>
      <c r="AI1" t="s">
        <v>240</v>
      </c>
      <c r="AJ1" t="s">
        <v>241</v>
      </c>
      <c r="AK1" t="s">
        <v>242</v>
      </c>
      <c r="AL1" t="s">
        <v>243</v>
      </c>
      <c r="AM1" t="s">
        <v>262</v>
      </c>
      <c r="AN1" t="s">
        <v>263</v>
      </c>
      <c r="AO1" t="s">
        <v>299</v>
      </c>
      <c r="AP1" t="s">
        <v>300</v>
      </c>
      <c r="AQ1" t="s">
        <v>171</v>
      </c>
      <c r="AR1" t="s">
        <v>244</v>
      </c>
      <c r="AS1" t="s">
        <v>270</v>
      </c>
      <c r="AT1" t="s">
        <v>52</v>
      </c>
      <c r="AU1" t="s">
        <v>53</v>
      </c>
      <c r="AV1" t="s">
        <v>54</v>
      </c>
      <c r="AW1" t="s">
        <v>117</v>
      </c>
      <c r="AX1" t="s">
        <v>118</v>
      </c>
      <c r="AY1" t="s">
        <v>119</v>
      </c>
      <c r="AZ1" t="s">
        <v>120</v>
      </c>
      <c r="BA1" t="s">
        <v>301</v>
      </c>
      <c r="BB1" t="s">
        <v>302</v>
      </c>
      <c r="BC1" t="s">
        <v>558</v>
      </c>
    </row>
    <row r="2" spans="1:55" x14ac:dyDescent="0.25">
      <c r="A2">
        <v>115</v>
      </c>
      <c r="B2" t="s">
        <v>298</v>
      </c>
      <c r="C2" t="s">
        <v>293</v>
      </c>
      <c r="D2" t="s">
        <v>55</v>
      </c>
      <c r="E2" t="s">
        <v>168</v>
      </c>
      <c r="F2" t="s">
        <v>56</v>
      </c>
      <c r="G2" t="s">
        <v>57</v>
      </c>
      <c r="H2" t="s">
        <v>58</v>
      </c>
      <c r="I2" s="2">
        <v>45207</v>
      </c>
      <c r="J2" t="s">
        <v>59</v>
      </c>
      <c r="K2">
        <v>32</v>
      </c>
      <c r="L2">
        <v>2700.8</v>
      </c>
      <c r="M2">
        <v>24</v>
      </c>
      <c r="N2">
        <v>4051.2</v>
      </c>
      <c r="S2">
        <v>7</v>
      </c>
      <c r="T2">
        <v>590.79999999999995</v>
      </c>
      <c r="U2">
        <v>-3.2</v>
      </c>
      <c r="V2">
        <v>-270.08</v>
      </c>
      <c r="Y2">
        <v>56</v>
      </c>
      <c r="Z2">
        <v>431.2</v>
      </c>
      <c r="AG2">
        <v>24</v>
      </c>
      <c r="AH2">
        <v>59.52</v>
      </c>
      <c r="AI2">
        <v>6</v>
      </c>
      <c r="AJ2">
        <v>216.54</v>
      </c>
      <c r="AK2">
        <v>6</v>
      </c>
      <c r="AL2">
        <v>330</v>
      </c>
      <c r="AT2">
        <v>8109.98</v>
      </c>
      <c r="AU2">
        <v>8109.98</v>
      </c>
      <c r="AV2">
        <v>3413</v>
      </c>
      <c r="AW2">
        <v>4696.9799999999996</v>
      </c>
      <c r="AX2">
        <v>379.8</v>
      </c>
      <c r="AY2">
        <v>200</v>
      </c>
      <c r="AZ2">
        <v>210.86</v>
      </c>
    </row>
    <row r="3" spans="1:55" x14ac:dyDescent="0.25">
      <c r="A3">
        <v>161</v>
      </c>
      <c r="B3" t="s">
        <v>134</v>
      </c>
      <c r="C3" t="s">
        <v>8</v>
      </c>
      <c r="D3" t="s">
        <v>55</v>
      </c>
      <c r="E3" t="s">
        <v>132</v>
      </c>
      <c r="F3" t="s">
        <v>56</v>
      </c>
      <c r="G3" t="s">
        <v>57</v>
      </c>
      <c r="H3" t="s">
        <v>58</v>
      </c>
      <c r="I3" s="2">
        <v>45207</v>
      </c>
      <c r="J3" t="s">
        <v>59</v>
      </c>
      <c r="S3">
        <v>8</v>
      </c>
      <c r="T3">
        <v>640.08000000000004</v>
      </c>
      <c r="AM3">
        <v>1</v>
      </c>
      <c r="AN3">
        <v>52.9</v>
      </c>
      <c r="AT3">
        <v>692.98</v>
      </c>
      <c r="AU3">
        <v>692.98</v>
      </c>
      <c r="AV3">
        <v>77</v>
      </c>
      <c r="AW3">
        <v>615.98</v>
      </c>
      <c r="AX3">
        <v>70.41</v>
      </c>
      <c r="BA3">
        <v>170</v>
      </c>
      <c r="BB3">
        <v>3</v>
      </c>
      <c r="BC3">
        <v>38.08</v>
      </c>
    </row>
    <row r="4" spans="1:55" x14ac:dyDescent="0.25">
      <c r="A4">
        <v>168</v>
      </c>
      <c r="B4" t="s">
        <v>15</v>
      </c>
      <c r="C4" t="s">
        <v>9</v>
      </c>
      <c r="D4" t="s">
        <v>76</v>
      </c>
      <c r="E4" t="s">
        <v>168</v>
      </c>
      <c r="F4" t="s">
        <v>56</v>
      </c>
      <c r="G4" t="s">
        <v>57</v>
      </c>
      <c r="H4" t="s">
        <v>58</v>
      </c>
      <c r="I4" s="2">
        <v>45207</v>
      </c>
      <c r="J4" t="s">
        <v>59</v>
      </c>
      <c r="K4">
        <v>32</v>
      </c>
      <c r="L4">
        <v>1868.16</v>
      </c>
      <c r="M4">
        <v>12.5</v>
      </c>
      <c r="N4">
        <v>1459.5</v>
      </c>
      <c r="O4">
        <v>1.8</v>
      </c>
      <c r="P4">
        <v>105.08</v>
      </c>
      <c r="Q4">
        <v>1.8</v>
      </c>
      <c r="R4">
        <v>18.39</v>
      </c>
      <c r="S4">
        <v>6</v>
      </c>
      <c r="T4">
        <v>350.28</v>
      </c>
      <c r="U4">
        <v>-3.2</v>
      </c>
      <c r="V4">
        <v>-186.82</v>
      </c>
      <c r="Y4">
        <v>44.5</v>
      </c>
      <c r="Z4">
        <v>342.65</v>
      </c>
      <c r="AI4">
        <v>4</v>
      </c>
      <c r="AJ4">
        <v>144.36000000000001</v>
      </c>
      <c r="AK4">
        <v>5</v>
      </c>
      <c r="AL4">
        <v>275</v>
      </c>
      <c r="AT4">
        <v>4376.6000000000004</v>
      </c>
      <c r="AU4">
        <v>4376.6000000000004</v>
      </c>
      <c r="AV4">
        <v>1494</v>
      </c>
      <c r="AW4">
        <v>2882.6</v>
      </c>
      <c r="AX4">
        <v>272.73</v>
      </c>
      <c r="AY4">
        <v>200</v>
      </c>
      <c r="AZ4">
        <v>113.79</v>
      </c>
    </row>
    <row r="5" spans="1:55" x14ac:dyDescent="0.25">
      <c r="A5">
        <v>246</v>
      </c>
      <c r="B5" t="s">
        <v>284</v>
      </c>
      <c r="C5" t="s">
        <v>282</v>
      </c>
      <c r="D5" t="s">
        <v>55</v>
      </c>
      <c r="E5" t="s">
        <v>220</v>
      </c>
      <c r="F5" t="s">
        <v>56</v>
      </c>
      <c r="G5" t="s">
        <v>57</v>
      </c>
      <c r="H5" t="s">
        <v>58</v>
      </c>
      <c r="I5" s="2">
        <v>45207</v>
      </c>
      <c r="J5" t="s">
        <v>59</v>
      </c>
      <c r="K5">
        <v>32</v>
      </c>
      <c r="L5">
        <v>2560.3200000000002</v>
      </c>
      <c r="S5">
        <v>8</v>
      </c>
      <c r="T5">
        <v>640.08000000000004</v>
      </c>
      <c r="U5">
        <v>-3.2</v>
      </c>
      <c r="V5">
        <v>-256.02999999999997</v>
      </c>
      <c r="Y5">
        <v>48</v>
      </c>
      <c r="Z5">
        <v>218.4</v>
      </c>
      <c r="AA5">
        <v>16</v>
      </c>
      <c r="AB5">
        <v>2304.29</v>
      </c>
      <c r="AE5">
        <v>19.5</v>
      </c>
      <c r="AF5">
        <v>1560.2</v>
      </c>
      <c r="AM5">
        <v>5</v>
      </c>
      <c r="AN5">
        <v>264.5</v>
      </c>
      <c r="AO5">
        <v>4</v>
      </c>
      <c r="AP5">
        <v>122.88</v>
      </c>
      <c r="AT5">
        <v>7414.64</v>
      </c>
      <c r="AU5">
        <v>7414.64</v>
      </c>
      <c r="AV5">
        <v>2922</v>
      </c>
      <c r="AW5">
        <v>4492.6400000000003</v>
      </c>
      <c r="AX5">
        <v>519.53</v>
      </c>
      <c r="BA5">
        <v>170</v>
      </c>
      <c r="BB5">
        <v>3</v>
      </c>
      <c r="BC5">
        <v>38.08</v>
      </c>
    </row>
    <row r="6" spans="1:55" x14ac:dyDescent="0.25">
      <c r="A6">
        <v>255</v>
      </c>
      <c r="B6" t="s">
        <v>64</v>
      </c>
      <c r="C6" t="s">
        <v>189</v>
      </c>
      <c r="D6" t="s">
        <v>55</v>
      </c>
      <c r="E6" t="s">
        <v>132</v>
      </c>
      <c r="F6" t="s">
        <v>56</v>
      </c>
      <c r="G6" t="s">
        <v>57</v>
      </c>
      <c r="H6" t="s">
        <v>58</v>
      </c>
      <c r="I6" s="2">
        <v>45207</v>
      </c>
      <c r="J6" t="s">
        <v>59</v>
      </c>
      <c r="S6">
        <v>8</v>
      </c>
      <c r="T6">
        <v>640.08000000000004</v>
      </c>
      <c r="U6">
        <v>-4</v>
      </c>
      <c r="V6">
        <v>-320.04000000000002</v>
      </c>
      <c r="Y6">
        <v>72</v>
      </c>
      <c r="Z6">
        <v>730.8</v>
      </c>
      <c r="AA6">
        <v>32</v>
      </c>
      <c r="AB6">
        <v>4608.58</v>
      </c>
      <c r="AC6">
        <v>40</v>
      </c>
      <c r="AD6">
        <v>5760.72</v>
      </c>
      <c r="AM6">
        <v>7</v>
      </c>
      <c r="AN6">
        <v>370.3</v>
      </c>
      <c r="AO6">
        <v>6</v>
      </c>
      <c r="AP6">
        <v>184.32</v>
      </c>
      <c r="AQ6">
        <v>200</v>
      </c>
      <c r="AT6">
        <v>11974.76</v>
      </c>
      <c r="AU6">
        <v>11774.76</v>
      </c>
      <c r="AV6">
        <v>4971</v>
      </c>
      <c r="AW6">
        <v>6803.76</v>
      </c>
      <c r="AX6">
        <v>749.27</v>
      </c>
      <c r="BA6">
        <v>170</v>
      </c>
      <c r="BB6">
        <v>3</v>
      </c>
      <c r="BC6">
        <v>38.08</v>
      </c>
    </row>
    <row r="7" spans="1:55" x14ac:dyDescent="0.25">
      <c r="A7">
        <v>631</v>
      </c>
      <c r="B7" t="s">
        <v>266</v>
      </c>
      <c r="C7" t="s">
        <v>182</v>
      </c>
      <c r="D7" t="s">
        <v>55</v>
      </c>
      <c r="E7" t="s">
        <v>265</v>
      </c>
      <c r="F7" t="s">
        <v>56</v>
      </c>
      <c r="G7" t="s">
        <v>57</v>
      </c>
      <c r="H7" t="s">
        <v>58</v>
      </c>
      <c r="I7" s="2">
        <v>45207</v>
      </c>
      <c r="J7" t="s">
        <v>59</v>
      </c>
      <c r="K7">
        <v>32</v>
      </c>
      <c r="L7">
        <v>2700.8</v>
      </c>
      <c r="M7">
        <v>9</v>
      </c>
      <c r="N7">
        <v>1519.2</v>
      </c>
      <c r="S7">
        <v>8</v>
      </c>
      <c r="T7">
        <v>675.2</v>
      </c>
      <c r="U7">
        <v>-3.2</v>
      </c>
      <c r="V7">
        <v>-270.08</v>
      </c>
      <c r="Y7">
        <v>41</v>
      </c>
      <c r="Z7">
        <v>315.7</v>
      </c>
      <c r="AG7">
        <v>9</v>
      </c>
      <c r="AH7">
        <v>22.32</v>
      </c>
      <c r="AI7">
        <v>4</v>
      </c>
      <c r="AJ7">
        <v>144.36000000000001</v>
      </c>
      <c r="AK7">
        <v>5</v>
      </c>
      <c r="AL7">
        <v>275</v>
      </c>
      <c r="AS7">
        <v>67</v>
      </c>
      <c r="AT7">
        <v>5382.5</v>
      </c>
      <c r="AU7">
        <v>5382.5</v>
      </c>
      <c r="AV7">
        <v>2033</v>
      </c>
      <c r="AW7">
        <v>3349.5</v>
      </c>
      <c r="AX7">
        <v>376.38</v>
      </c>
      <c r="AY7">
        <v>200</v>
      </c>
      <c r="AZ7">
        <v>139.94999999999999</v>
      </c>
    </row>
    <row r="8" spans="1:55" x14ac:dyDescent="0.25">
      <c r="A8">
        <v>665</v>
      </c>
      <c r="B8" t="s">
        <v>64</v>
      </c>
      <c r="C8" t="s">
        <v>217</v>
      </c>
      <c r="D8" t="s">
        <v>55</v>
      </c>
      <c r="E8" t="s">
        <v>220</v>
      </c>
      <c r="F8" t="s">
        <v>56</v>
      </c>
      <c r="G8" t="s">
        <v>57</v>
      </c>
      <c r="H8" t="s">
        <v>58</v>
      </c>
      <c r="I8" s="2">
        <v>45207</v>
      </c>
      <c r="J8" t="s">
        <v>59</v>
      </c>
      <c r="K8">
        <v>8</v>
      </c>
      <c r="L8">
        <v>640.08000000000004</v>
      </c>
      <c r="S8">
        <v>8</v>
      </c>
      <c r="T8">
        <v>640.08000000000004</v>
      </c>
      <c r="U8">
        <v>-4</v>
      </c>
      <c r="V8">
        <v>-320.04000000000002</v>
      </c>
      <c r="Y8">
        <v>48</v>
      </c>
      <c r="Z8">
        <v>218.4</v>
      </c>
      <c r="AA8">
        <v>8</v>
      </c>
      <c r="AB8">
        <v>1152.1400000000001</v>
      </c>
      <c r="AC8">
        <v>32</v>
      </c>
      <c r="AD8">
        <v>4608.58</v>
      </c>
      <c r="AM8">
        <v>5</v>
      </c>
      <c r="AN8">
        <v>264.5</v>
      </c>
      <c r="AO8">
        <v>4</v>
      </c>
      <c r="AP8">
        <v>122.88</v>
      </c>
      <c r="AR8">
        <v>288.85000000000002</v>
      </c>
      <c r="AT8">
        <v>7326.62</v>
      </c>
      <c r="AU8">
        <v>7326.62</v>
      </c>
      <c r="AV8">
        <v>2880</v>
      </c>
      <c r="AW8">
        <v>4157.7700000000004</v>
      </c>
      <c r="AX8">
        <v>636.58000000000004</v>
      </c>
      <c r="BA8">
        <v>170</v>
      </c>
      <c r="BB8">
        <v>3</v>
      </c>
      <c r="BC8">
        <v>38.08</v>
      </c>
    </row>
    <row r="9" spans="1:55" x14ac:dyDescent="0.25">
      <c r="A9">
        <v>667</v>
      </c>
      <c r="B9" t="s">
        <v>170</v>
      </c>
      <c r="C9" t="s">
        <v>348</v>
      </c>
      <c r="D9" t="s">
        <v>55</v>
      </c>
      <c r="E9" t="s">
        <v>168</v>
      </c>
      <c r="F9" t="s">
        <v>56</v>
      </c>
      <c r="G9" t="s">
        <v>57</v>
      </c>
      <c r="H9" t="s">
        <v>58</v>
      </c>
      <c r="I9" s="2">
        <v>45207</v>
      </c>
      <c r="J9" t="s">
        <v>59</v>
      </c>
      <c r="M9">
        <v>16</v>
      </c>
      <c r="N9">
        <v>2700.8</v>
      </c>
      <c r="S9">
        <v>8</v>
      </c>
      <c r="T9">
        <v>675.2</v>
      </c>
      <c r="U9">
        <v>-3.2</v>
      </c>
      <c r="V9">
        <v>-270.08</v>
      </c>
      <c r="W9">
        <v>32</v>
      </c>
      <c r="X9">
        <v>5401.6</v>
      </c>
      <c r="Y9">
        <v>48</v>
      </c>
      <c r="Z9">
        <v>369.6</v>
      </c>
      <c r="AG9">
        <v>16</v>
      </c>
      <c r="AH9">
        <v>39.68</v>
      </c>
      <c r="AI9">
        <v>4</v>
      </c>
      <c r="AJ9">
        <v>144.36000000000001</v>
      </c>
      <c r="AK9">
        <v>5</v>
      </c>
      <c r="AL9">
        <v>275</v>
      </c>
      <c r="AT9">
        <v>9336.16</v>
      </c>
      <c r="AU9">
        <v>9336.16</v>
      </c>
      <c r="AV9">
        <v>3825</v>
      </c>
      <c r="AW9">
        <v>5511.16</v>
      </c>
      <c r="AX9">
        <v>679.4</v>
      </c>
      <c r="AY9">
        <v>200</v>
      </c>
      <c r="AZ9">
        <v>242.74</v>
      </c>
    </row>
    <row r="10" spans="1:55" x14ac:dyDescent="0.25">
      <c r="A10">
        <v>677</v>
      </c>
      <c r="B10" t="s">
        <v>136</v>
      </c>
      <c r="C10" t="s">
        <v>82</v>
      </c>
      <c r="D10" t="s">
        <v>55</v>
      </c>
      <c r="E10" t="s">
        <v>132</v>
      </c>
      <c r="F10" t="s">
        <v>56</v>
      </c>
      <c r="G10" t="s">
        <v>57</v>
      </c>
      <c r="H10" t="s">
        <v>58</v>
      </c>
      <c r="I10" s="2">
        <v>45207</v>
      </c>
      <c r="J10" t="s">
        <v>59</v>
      </c>
      <c r="K10">
        <v>8</v>
      </c>
      <c r="L10">
        <v>640.08000000000004</v>
      </c>
      <c r="S10">
        <v>8</v>
      </c>
      <c r="T10">
        <v>640.08000000000004</v>
      </c>
      <c r="U10">
        <v>-4</v>
      </c>
      <c r="V10">
        <v>-320.04000000000002</v>
      </c>
      <c r="Y10">
        <v>48</v>
      </c>
      <c r="Z10">
        <v>487.2</v>
      </c>
      <c r="AA10">
        <v>8</v>
      </c>
      <c r="AB10">
        <v>1152.1400000000001</v>
      </c>
      <c r="AC10">
        <v>32</v>
      </c>
      <c r="AD10">
        <v>4608.58</v>
      </c>
      <c r="AM10">
        <v>5</v>
      </c>
      <c r="AN10">
        <v>264.5</v>
      </c>
      <c r="AO10">
        <v>4</v>
      </c>
      <c r="AP10">
        <v>122.88</v>
      </c>
      <c r="AT10">
        <v>7595.42</v>
      </c>
      <c r="AU10">
        <v>7595.42</v>
      </c>
      <c r="AV10">
        <v>3171</v>
      </c>
      <c r="AW10">
        <v>4424.42</v>
      </c>
      <c r="AX10">
        <v>666.15</v>
      </c>
      <c r="BA10">
        <v>170</v>
      </c>
      <c r="BB10">
        <v>3</v>
      </c>
      <c r="BC10">
        <v>38.08</v>
      </c>
    </row>
    <row r="11" spans="1:55" x14ac:dyDescent="0.25">
      <c r="A11">
        <v>736</v>
      </c>
      <c r="B11" t="s">
        <v>269</v>
      </c>
      <c r="C11" t="s">
        <v>78</v>
      </c>
      <c r="D11" t="s">
        <v>55</v>
      </c>
      <c r="E11" t="s">
        <v>264</v>
      </c>
      <c r="F11" t="s">
        <v>56</v>
      </c>
      <c r="G11" t="s">
        <v>57</v>
      </c>
      <c r="H11" t="s">
        <v>58</v>
      </c>
      <c r="I11" s="2">
        <v>45207</v>
      </c>
      <c r="J11" t="s">
        <v>59</v>
      </c>
      <c r="K11">
        <v>31.5</v>
      </c>
      <c r="L11">
        <v>2658.6</v>
      </c>
      <c r="M11">
        <v>4.5</v>
      </c>
      <c r="N11">
        <v>759.6</v>
      </c>
      <c r="S11">
        <v>6</v>
      </c>
      <c r="T11">
        <v>506.4</v>
      </c>
      <c r="U11">
        <v>-3.15</v>
      </c>
      <c r="V11">
        <v>-265.86</v>
      </c>
      <c r="Y11">
        <v>36</v>
      </c>
      <c r="Z11">
        <v>277.2</v>
      </c>
      <c r="AG11">
        <v>4.5</v>
      </c>
      <c r="AH11">
        <v>11.16</v>
      </c>
      <c r="AI11">
        <v>3</v>
      </c>
      <c r="AJ11">
        <v>108.27</v>
      </c>
      <c r="AK11">
        <v>5</v>
      </c>
      <c r="AL11">
        <v>275</v>
      </c>
      <c r="AT11">
        <v>4330.37</v>
      </c>
      <c r="AU11">
        <v>4330.37</v>
      </c>
      <c r="AV11">
        <v>1637</v>
      </c>
      <c r="AW11">
        <v>2693.37</v>
      </c>
      <c r="AX11">
        <v>349.4</v>
      </c>
      <c r="AY11">
        <v>200</v>
      </c>
      <c r="AZ11">
        <v>112.59</v>
      </c>
    </row>
    <row r="12" spans="1:55" x14ac:dyDescent="0.25">
      <c r="A12">
        <v>772</v>
      </c>
      <c r="B12" t="s">
        <v>333</v>
      </c>
      <c r="C12" t="s">
        <v>174</v>
      </c>
      <c r="D12" t="s">
        <v>55</v>
      </c>
      <c r="E12" t="s">
        <v>265</v>
      </c>
      <c r="F12" t="s">
        <v>56</v>
      </c>
      <c r="G12" t="s">
        <v>57</v>
      </c>
      <c r="H12" t="s">
        <v>58</v>
      </c>
      <c r="I12" s="2">
        <v>45207</v>
      </c>
      <c r="J12" t="s">
        <v>59</v>
      </c>
      <c r="K12">
        <v>32</v>
      </c>
      <c r="L12">
        <v>2700.8</v>
      </c>
      <c r="M12">
        <v>17.5</v>
      </c>
      <c r="N12">
        <v>2954</v>
      </c>
      <c r="S12">
        <v>8</v>
      </c>
      <c r="T12">
        <v>675.2</v>
      </c>
      <c r="U12">
        <v>-3.2</v>
      </c>
      <c r="V12">
        <v>-270.08</v>
      </c>
      <c r="Y12">
        <v>49.5</v>
      </c>
      <c r="Z12">
        <v>381.15</v>
      </c>
      <c r="AG12">
        <v>17.5</v>
      </c>
      <c r="AH12">
        <v>43.4</v>
      </c>
      <c r="AI12">
        <v>5</v>
      </c>
      <c r="AJ12">
        <v>180.45</v>
      </c>
      <c r="AK12">
        <v>6</v>
      </c>
      <c r="AL12">
        <v>330</v>
      </c>
      <c r="AQ12">
        <v>200</v>
      </c>
      <c r="AT12">
        <v>6994.92</v>
      </c>
      <c r="AU12">
        <v>6794.92</v>
      </c>
      <c r="AV12">
        <v>2630</v>
      </c>
      <c r="AW12">
        <v>4164.92</v>
      </c>
      <c r="AX12">
        <v>383.58</v>
      </c>
      <c r="AY12">
        <v>200</v>
      </c>
      <c r="AZ12">
        <v>181.87</v>
      </c>
    </row>
    <row r="13" spans="1:55" x14ac:dyDescent="0.25">
      <c r="A13">
        <v>774</v>
      </c>
      <c r="B13" t="s">
        <v>251</v>
      </c>
      <c r="C13" t="s">
        <v>146</v>
      </c>
      <c r="D13" t="s">
        <v>55</v>
      </c>
      <c r="E13" t="s">
        <v>220</v>
      </c>
      <c r="F13" t="s">
        <v>56</v>
      </c>
      <c r="G13" t="s">
        <v>57</v>
      </c>
      <c r="H13" t="s">
        <v>58</v>
      </c>
      <c r="I13" s="2">
        <v>45207</v>
      </c>
      <c r="J13" t="s">
        <v>59</v>
      </c>
      <c r="U13">
        <v>-4</v>
      </c>
      <c r="V13">
        <v>-320.04000000000002</v>
      </c>
      <c r="Y13">
        <v>72</v>
      </c>
      <c r="Z13">
        <v>327.61</v>
      </c>
      <c r="AA13">
        <v>32</v>
      </c>
      <c r="AB13">
        <v>4608.58</v>
      </c>
      <c r="AC13">
        <v>40</v>
      </c>
      <c r="AD13">
        <v>5760.72</v>
      </c>
      <c r="AE13">
        <v>12</v>
      </c>
      <c r="AF13">
        <v>960.12</v>
      </c>
      <c r="AM13">
        <v>6</v>
      </c>
      <c r="AN13">
        <v>317.39999999999998</v>
      </c>
      <c r="AO13">
        <v>6</v>
      </c>
      <c r="AP13">
        <v>184.32</v>
      </c>
      <c r="AQ13">
        <v>200</v>
      </c>
      <c r="AT13">
        <v>11838.71</v>
      </c>
      <c r="AU13">
        <v>11638.71</v>
      </c>
      <c r="AV13">
        <v>4907</v>
      </c>
      <c r="AW13">
        <v>6731.71</v>
      </c>
      <c r="AX13">
        <v>740.13</v>
      </c>
      <c r="BA13">
        <v>170</v>
      </c>
      <c r="BB13">
        <v>3</v>
      </c>
      <c r="BC13">
        <v>38.08</v>
      </c>
    </row>
    <row r="14" spans="1:55" x14ac:dyDescent="0.25">
      <c r="A14">
        <v>775</v>
      </c>
      <c r="B14" t="s">
        <v>329</v>
      </c>
      <c r="C14" t="s">
        <v>148</v>
      </c>
      <c r="D14" t="s">
        <v>55</v>
      </c>
      <c r="E14" t="s">
        <v>264</v>
      </c>
      <c r="F14" t="s">
        <v>56</v>
      </c>
      <c r="G14" t="s">
        <v>57</v>
      </c>
      <c r="H14" t="s">
        <v>58</v>
      </c>
      <c r="I14" s="2">
        <v>45207</v>
      </c>
      <c r="J14" t="s">
        <v>59</v>
      </c>
      <c r="K14">
        <v>31.5</v>
      </c>
      <c r="L14">
        <v>2658.6</v>
      </c>
      <c r="M14">
        <v>14</v>
      </c>
      <c r="N14">
        <v>2363.1999999999998</v>
      </c>
      <c r="S14">
        <v>8</v>
      </c>
      <c r="T14">
        <v>675.2</v>
      </c>
      <c r="U14">
        <v>-3.15</v>
      </c>
      <c r="V14">
        <v>-265.86</v>
      </c>
      <c r="Y14">
        <v>45.5</v>
      </c>
      <c r="Z14">
        <v>350.35</v>
      </c>
      <c r="AG14">
        <v>14</v>
      </c>
      <c r="AH14">
        <v>34.72</v>
      </c>
      <c r="AI14">
        <v>5</v>
      </c>
      <c r="AJ14">
        <v>180.45</v>
      </c>
      <c r="AK14">
        <v>6</v>
      </c>
      <c r="AL14">
        <v>330</v>
      </c>
      <c r="AQ14">
        <v>150</v>
      </c>
      <c r="AT14">
        <v>6326.66</v>
      </c>
      <c r="AU14">
        <v>6176.66</v>
      </c>
      <c r="AV14">
        <v>2340</v>
      </c>
      <c r="AW14">
        <v>3836.66</v>
      </c>
      <c r="AX14">
        <v>376.01</v>
      </c>
      <c r="AY14">
        <v>200</v>
      </c>
      <c r="AZ14">
        <v>164.49</v>
      </c>
    </row>
    <row r="15" spans="1:55" x14ac:dyDescent="0.25">
      <c r="A15">
        <v>776</v>
      </c>
      <c r="B15" t="s">
        <v>283</v>
      </c>
      <c r="C15" t="s">
        <v>150</v>
      </c>
      <c r="D15" t="s">
        <v>55</v>
      </c>
      <c r="E15" t="s">
        <v>168</v>
      </c>
      <c r="F15" t="s">
        <v>56</v>
      </c>
      <c r="G15" t="s">
        <v>57</v>
      </c>
      <c r="H15" t="s">
        <v>58</v>
      </c>
      <c r="I15" s="2">
        <v>45207</v>
      </c>
      <c r="J15" t="s">
        <v>59</v>
      </c>
      <c r="K15">
        <v>32</v>
      </c>
      <c r="L15">
        <v>2700.8</v>
      </c>
      <c r="M15">
        <v>14</v>
      </c>
      <c r="N15">
        <v>2363.1999999999998</v>
      </c>
      <c r="S15">
        <v>6</v>
      </c>
      <c r="T15">
        <v>506.4</v>
      </c>
      <c r="U15">
        <v>-3.2</v>
      </c>
      <c r="V15">
        <v>-270.08</v>
      </c>
      <c r="Y15">
        <v>46</v>
      </c>
      <c r="Z15">
        <v>354.2</v>
      </c>
      <c r="AG15">
        <v>14</v>
      </c>
      <c r="AH15">
        <v>34.72</v>
      </c>
      <c r="AI15">
        <v>4</v>
      </c>
      <c r="AJ15">
        <v>144.36000000000001</v>
      </c>
      <c r="AK15">
        <v>5</v>
      </c>
      <c r="AL15">
        <v>275</v>
      </c>
      <c r="AQ15">
        <v>200</v>
      </c>
      <c r="AT15">
        <v>6108.6</v>
      </c>
      <c r="AU15">
        <v>5908.6</v>
      </c>
      <c r="AV15">
        <v>2214</v>
      </c>
      <c r="AW15">
        <v>3694.6</v>
      </c>
      <c r="AX15">
        <v>362.05</v>
      </c>
      <c r="AY15">
        <v>200</v>
      </c>
      <c r="AZ15">
        <v>158.82</v>
      </c>
    </row>
    <row r="16" spans="1:55" x14ac:dyDescent="0.25">
      <c r="A16">
        <v>790</v>
      </c>
      <c r="B16" t="s">
        <v>176</v>
      </c>
      <c r="C16" t="s">
        <v>111</v>
      </c>
      <c r="D16" t="s">
        <v>55</v>
      </c>
      <c r="E16" t="s">
        <v>132</v>
      </c>
      <c r="F16" t="s">
        <v>56</v>
      </c>
      <c r="G16" t="s">
        <v>57</v>
      </c>
      <c r="H16" t="s">
        <v>58</v>
      </c>
      <c r="I16" s="2">
        <v>45207</v>
      </c>
      <c r="J16" t="s">
        <v>59</v>
      </c>
      <c r="K16">
        <v>32</v>
      </c>
      <c r="L16">
        <v>2560.3200000000002</v>
      </c>
      <c r="U16">
        <v>-3.2</v>
      </c>
      <c r="V16">
        <v>-256.02999999999997</v>
      </c>
      <c r="Y16">
        <v>48</v>
      </c>
      <c r="Z16">
        <v>487.2</v>
      </c>
      <c r="AA16">
        <v>16</v>
      </c>
      <c r="AB16">
        <v>2304.29</v>
      </c>
      <c r="AM16">
        <v>4</v>
      </c>
      <c r="AN16">
        <v>211.6</v>
      </c>
      <c r="AO16">
        <v>4</v>
      </c>
      <c r="AP16">
        <v>122.88</v>
      </c>
      <c r="AT16">
        <v>5430.26</v>
      </c>
      <c r="AU16">
        <v>5430.26</v>
      </c>
      <c r="AV16">
        <v>1765</v>
      </c>
      <c r="AW16">
        <v>3665.26</v>
      </c>
      <c r="AX16">
        <v>307.06</v>
      </c>
      <c r="BA16">
        <v>170</v>
      </c>
      <c r="BB16">
        <v>3</v>
      </c>
      <c r="BC16">
        <v>38.08</v>
      </c>
    </row>
    <row r="17" spans="1:52" x14ac:dyDescent="0.25">
      <c r="A17">
        <v>794</v>
      </c>
      <c r="B17" t="s">
        <v>391</v>
      </c>
      <c r="C17" t="s">
        <v>325</v>
      </c>
      <c r="D17" t="s">
        <v>55</v>
      </c>
      <c r="E17" t="s">
        <v>168</v>
      </c>
      <c r="F17" t="s">
        <v>56</v>
      </c>
      <c r="G17" t="s">
        <v>57</v>
      </c>
      <c r="H17" t="s">
        <v>58</v>
      </c>
      <c r="I17" s="2">
        <v>45207</v>
      </c>
      <c r="J17" t="s">
        <v>59</v>
      </c>
      <c r="K17">
        <v>32</v>
      </c>
      <c r="L17">
        <v>2700.8</v>
      </c>
      <c r="M17">
        <v>24</v>
      </c>
      <c r="N17">
        <v>4051.2</v>
      </c>
      <c r="S17">
        <v>8</v>
      </c>
      <c r="T17">
        <v>675.2</v>
      </c>
      <c r="U17">
        <v>-3.2</v>
      </c>
      <c r="V17">
        <v>-270.08</v>
      </c>
      <c r="Y17">
        <v>56</v>
      </c>
      <c r="Z17">
        <v>431.2</v>
      </c>
      <c r="AG17">
        <v>24</v>
      </c>
      <c r="AH17">
        <v>59.52</v>
      </c>
      <c r="AI17">
        <v>6</v>
      </c>
      <c r="AJ17">
        <v>216.54</v>
      </c>
      <c r="AK17">
        <v>6</v>
      </c>
      <c r="AL17">
        <v>330</v>
      </c>
      <c r="AT17">
        <v>8194.3799999999992</v>
      </c>
      <c r="AU17">
        <v>8194.3799999999992</v>
      </c>
      <c r="AV17">
        <v>3453</v>
      </c>
      <c r="AW17">
        <v>4741.38</v>
      </c>
      <c r="AX17">
        <v>389.08</v>
      </c>
      <c r="AY17">
        <v>200</v>
      </c>
      <c r="AZ17">
        <v>213.05</v>
      </c>
    </row>
    <row r="18" spans="1:52" x14ac:dyDescent="0.25">
      <c r="A18">
        <v>798</v>
      </c>
      <c r="B18" t="s">
        <v>226</v>
      </c>
      <c r="C18" t="s">
        <v>156</v>
      </c>
      <c r="D18" t="s">
        <v>55</v>
      </c>
      <c r="E18" t="s">
        <v>168</v>
      </c>
      <c r="F18" t="s">
        <v>56</v>
      </c>
      <c r="G18" t="s">
        <v>57</v>
      </c>
      <c r="H18" t="s">
        <v>58</v>
      </c>
      <c r="I18" s="2">
        <v>45207</v>
      </c>
      <c r="J18" t="s">
        <v>59</v>
      </c>
      <c r="M18">
        <v>16</v>
      </c>
      <c r="N18">
        <v>2700.8</v>
      </c>
      <c r="S18">
        <v>8</v>
      </c>
      <c r="T18">
        <v>675.2</v>
      </c>
      <c r="U18">
        <v>-3.2</v>
      </c>
      <c r="V18">
        <v>-270.08</v>
      </c>
      <c r="W18">
        <v>32</v>
      </c>
      <c r="X18">
        <v>5401.6</v>
      </c>
      <c r="Y18">
        <v>48</v>
      </c>
      <c r="Z18">
        <v>369.6</v>
      </c>
      <c r="AG18">
        <v>16</v>
      </c>
      <c r="AH18">
        <v>39.68</v>
      </c>
      <c r="AI18">
        <v>4</v>
      </c>
      <c r="AJ18">
        <v>144.36000000000001</v>
      </c>
      <c r="AK18">
        <v>5</v>
      </c>
      <c r="AL18">
        <v>275</v>
      </c>
      <c r="AT18">
        <v>9336.16</v>
      </c>
      <c r="AU18">
        <v>9336.16</v>
      </c>
      <c r="AV18">
        <v>3989</v>
      </c>
      <c r="AW18">
        <v>5347.16</v>
      </c>
      <c r="AX18">
        <v>679.4</v>
      </c>
      <c r="AY18">
        <v>200</v>
      </c>
      <c r="AZ18">
        <v>242.74</v>
      </c>
    </row>
    <row r="19" spans="1:52" x14ac:dyDescent="0.25">
      <c r="A19">
        <v>836</v>
      </c>
      <c r="B19" t="s">
        <v>393</v>
      </c>
      <c r="C19" t="s">
        <v>178</v>
      </c>
      <c r="D19" t="s">
        <v>55</v>
      </c>
      <c r="E19" t="s">
        <v>392</v>
      </c>
      <c r="F19" t="s">
        <v>56</v>
      </c>
      <c r="G19" t="s">
        <v>57</v>
      </c>
      <c r="H19" t="s">
        <v>58</v>
      </c>
      <c r="I19" s="2">
        <v>45207</v>
      </c>
      <c r="J19" t="s">
        <v>59</v>
      </c>
      <c r="K19">
        <v>8</v>
      </c>
      <c r="L19">
        <v>706.8</v>
      </c>
      <c r="U19">
        <v>-0.8</v>
      </c>
      <c r="V19">
        <v>-70.680000000000007</v>
      </c>
      <c r="Y19">
        <v>8</v>
      </c>
      <c r="Z19">
        <v>61.6</v>
      </c>
      <c r="AK19">
        <v>1</v>
      </c>
      <c r="AL19">
        <v>55</v>
      </c>
      <c r="AT19">
        <v>752.72</v>
      </c>
      <c r="AU19">
        <v>752.72</v>
      </c>
      <c r="AV19">
        <v>90</v>
      </c>
      <c r="AW19">
        <v>662.72</v>
      </c>
      <c r="AX19">
        <v>76.75</v>
      </c>
      <c r="AY19">
        <v>200</v>
      </c>
      <c r="AZ19">
        <v>19.57</v>
      </c>
    </row>
    <row r="20" spans="1:52" x14ac:dyDescent="0.25">
      <c r="A20">
        <v>894</v>
      </c>
      <c r="B20" t="s">
        <v>371</v>
      </c>
      <c r="C20" t="s">
        <v>358</v>
      </c>
      <c r="D20" t="s">
        <v>55</v>
      </c>
      <c r="E20" t="s">
        <v>168</v>
      </c>
      <c r="F20" t="s">
        <v>56</v>
      </c>
      <c r="G20" t="s">
        <v>57</v>
      </c>
      <c r="H20" t="s">
        <v>58</v>
      </c>
      <c r="I20" s="2">
        <v>45207</v>
      </c>
      <c r="J20" t="s">
        <v>59</v>
      </c>
      <c r="K20">
        <v>32</v>
      </c>
      <c r="L20">
        <v>2700.8</v>
      </c>
      <c r="M20">
        <v>13</v>
      </c>
      <c r="N20">
        <v>2194.4</v>
      </c>
      <c r="S20">
        <v>6</v>
      </c>
      <c r="T20">
        <v>506.4</v>
      </c>
      <c r="U20">
        <v>-3.2</v>
      </c>
      <c r="V20">
        <v>-270.08</v>
      </c>
      <c r="Y20">
        <v>45</v>
      </c>
      <c r="Z20">
        <v>346.5</v>
      </c>
      <c r="AG20">
        <v>13</v>
      </c>
      <c r="AH20">
        <v>32.24</v>
      </c>
      <c r="AI20">
        <v>4</v>
      </c>
      <c r="AJ20">
        <v>144.36000000000001</v>
      </c>
      <c r="AK20">
        <v>5</v>
      </c>
      <c r="AL20">
        <v>275</v>
      </c>
      <c r="AT20">
        <v>5929.62</v>
      </c>
      <c r="AU20">
        <v>5929.62</v>
      </c>
      <c r="AV20">
        <v>2224</v>
      </c>
      <c r="AW20">
        <v>3705.62</v>
      </c>
      <c r="AX20">
        <v>361.2</v>
      </c>
      <c r="AY20">
        <v>200</v>
      </c>
      <c r="AZ20">
        <v>154.16999999999999</v>
      </c>
    </row>
    <row r="21" spans="1:52" x14ac:dyDescent="0.25">
      <c r="A21">
        <v>940</v>
      </c>
      <c r="B21" t="s">
        <v>369</v>
      </c>
      <c r="C21" t="s">
        <v>360</v>
      </c>
      <c r="D21" t="s">
        <v>55</v>
      </c>
      <c r="E21" t="s">
        <v>168</v>
      </c>
      <c r="F21" t="s">
        <v>56</v>
      </c>
      <c r="G21" t="s">
        <v>57</v>
      </c>
      <c r="H21" t="s">
        <v>58</v>
      </c>
      <c r="I21" s="2">
        <v>45207</v>
      </c>
      <c r="J21" t="s">
        <v>59</v>
      </c>
      <c r="K21">
        <v>32</v>
      </c>
      <c r="L21">
        <v>2700.8</v>
      </c>
      <c r="M21">
        <v>14.5</v>
      </c>
      <c r="N21">
        <v>2447.6</v>
      </c>
      <c r="U21">
        <v>-3.2</v>
      </c>
      <c r="V21">
        <v>-270.08</v>
      </c>
      <c r="Y21">
        <v>46.5</v>
      </c>
      <c r="Z21">
        <v>358.05</v>
      </c>
      <c r="AG21">
        <v>14.5</v>
      </c>
      <c r="AH21">
        <v>35.96</v>
      </c>
      <c r="AI21">
        <v>5</v>
      </c>
      <c r="AJ21">
        <v>180.45</v>
      </c>
      <c r="AK21">
        <v>5</v>
      </c>
      <c r="AL21">
        <v>275</v>
      </c>
      <c r="AQ21">
        <v>100</v>
      </c>
      <c r="AT21">
        <v>5727.78</v>
      </c>
      <c r="AU21">
        <v>5627.78</v>
      </c>
      <c r="AV21">
        <v>2246</v>
      </c>
      <c r="AW21">
        <v>3381.78</v>
      </c>
      <c r="AX21">
        <v>306.76</v>
      </c>
      <c r="AY21">
        <v>200</v>
      </c>
      <c r="AZ21">
        <v>148.91999999999999</v>
      </c>
    </row>
    <row r="22" spans="1:52" x14ac:dyDescent="0.25">
      <c r="V22">
        <f>SUBTOTAL(9,Table_Pay_Journal__CSV[RDO Bank ($)])</f>
        <v>-5012.16</v>
      </c>
      <c r="AT22">
        <f>SUBTOTAL(9,Table_Pay_Journal__CSV[Gross])</f>
        <v>133179.84000000003</v>
      </c>
      <c r="AU22">
        <f>SUBTOTAL(9,Table_Pay_Journal__CSV[Taxable Income])</f>
        <v>132129.84000000003</v>
      </c>
      <c r="AV22">
        <f>SUBTOTAL(9,Table_Pay_Journal__CSV[Total Tax])</f>
        <v>52281</v>
      </c>
      <c r="AW22">
        <f>SUBTOTAL(9,Table_Pay_Journal__CSV[Net])</f>
        <v>79559.990000000005</v>
      </c>
      <c r="AX22">
        <f>SUBTOTAL(9,Table_Pay_Journal__CSV[SG Contribution])</f>
        <v>8681.67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A4C79-66D5-4CA5-9CE1-6B0402B68C6A}">
  <sheetPr codeName="Sheet10">
    <tabColor theme="9"/>
  </sheetPr>
  <dimension ref="A1:CB250"/>
  <sheetViews>
    <sheetView tabSelected="1" topLeftCell="A226" workbookViewId="0">
      <selection activeCell="M238" sqref="M238"/>
    </sheetView>
  </sheetViews>
  <sheetFormatPr defaultRowHeight="15" x14ac:dyDescent="0.25"/>
  <cols>
    <col min="1" max="1" width="20.140625" bestFit="1" customWidth="1"/>
    <col min="2" max="3" width="11.85546875" bestFit="1" customWidth="1"/>
    <col min="4" max="4" width="31" bestFit="1" customWidth="1"/>
    <col min="5" max="5" width="7.140625" bestFit="1" customWidth="1"/>
    <col min="6" max="6" width="12" bestFit="1" customWidth="1"/>
    <col min="7" max="7" width="14.7109375" bestFit="1" customWidth="1"/>
    <col min="8" max="8" width="8" customWidth="1"/>
    <col min="9" max="9" width="11.5703125" bestFit="1" customWidth="1"/>
    <col min="10" max="10" width="10.5703125" bestFit="1" customWidth="1"/>
    <col min="11" max="11" width="21.42578125" bestFit="1" customWidth="1"/>
    <col min="12" max="12" width="19.140625" bestFit="1" customWidth="1"/>
    <col min="13" max="13" width="20" bestFit="1" customWidth="1"/>
    <col min="14" max="14" width="17.7109375" bestFit="1" customWidth="1"/>
    <col min="15" max="15" width="20.42578125" bestFit="1" customWidth="1"/>
    <col min="16" max="16" width="18.140625" bestFit="1" customWidth="1"/>
    <col min="17" max="17" width="28" bestFit="1" customWidth="1"/>
    <col min="18" max="18" width="25.7109375" bestFit="1" customWidth="1"/>
    <col min="19" max="19" width="18" bestFit="1" customWidth="1"/>
    <col min="20" max="20" width="15.85546875" bestFit="1" customWidth="1"/>
    <col min="21" max="21" width="17" bestFit="1" customWidth="1"/>
    <col min="22" max="22" width="14.7109375" bestFit="1" customWidth="1"/>
    <col min="23" max="23" width="23" bestFit="1" customWidth="1"/>
    <col min="24" max="24" width="20.85546875" bestFit="1" customWidth="1"/>
    <col min="25" max="25" width="20.7109375" bestFit="1" customWidth="1"/>
    <col min="26" max="26" width="13.140625" bestFit="1" customWidth="1"/>
    <col min="27" max="27" width="20" bestFit="1" customWidth="1"/>
    <col min="28" max="28" width="17.7109375" bestFit="1" customWidth="1"/>
    <col min="29" max="29" width="20.42578125" bestFit="1" customWidth="1"/>
    <col min="30" max="30" width="18.140625" bestFit="1" customWidth="1"/>
    <col min="31" max="31" width="20.7109375" bestFit="1" customWidth="1"/>
    <col min="32" max="32" width="18.42578125" bestFit="1" customWidth="1"/>
    <col min="33" max="33" width="42.28515625" bestFit="1" customWidth="1"/>
    <col min="34" max="34" width="40" bestFit="1" customWidth="1"/>
    <col min="35" max="35" width="32.85546875" bestFit="1" customWidth="1"/>
    <col min="36" max="36" width="29.140625" bestFit="1" customWidth="1"/>
    <col min="37" max="37" width="32" bestFit="1" customWidth="1"/>
    <col min="38" max="38" width="27.28515625" bestFit="1" customWidth="1"/>
    <col min="39" max="39" width="13.140625" bestFit="1" customWidth="1"/>
    <col min="40" max="40" width="18.28515625" bestFit="1" customWidth="1"/>
    <col min="41" max="41" width="32.7109375" bestFit="1" customWidth="1"/>
    <col min="42" max="42" width="28.140625" bestFit="1" customWidth="1"/>
    <col min="43" max="43" width="40" bestFit="1" customWidth="1"/>
    <col min="44" max="44" width="36.42578125" bestFit="1" customWidth="1"/>
    <col min="45" max="45" width="33.140625" bestFit="1" customWidth="1"/>
    <col min="46" max="46" width="15.42578125" bestFit="1" customWidth="1"/>
    <col min="47" max="47" width="13.140625" bestFit="1" customWidth="1"/>
    <col min="48" max="48" width="16" bestFit="1" customWidth="1"/>
    <col min="49" max="49" width="8.5703125" bestFit="1" customWidth="1"/>
    <col min="50" max="50" width="17.28515625" bestFit="1" customWidth="1"/>
    <col min="51" max="51" width="7.5703125" bestFit="1" customWidth="1"/>
    <col min="52" max="52" width="17.5703125" bestFit="1" customWidth="1"/>
    <col min="53" max="53" width="11.140625" bestFit="1" customWidth="1"/>
    <col min="54" max="54" width="26.42578125" bestFit="1" customWidth="1"/>
    <col min="55" max="55" width="21" bestFit="1" customWidth="1"/>
    <col min="56" max="56" width="34.42578125" bestFit="1" customWidth="1"/>
    <col min="57" max="57" width="27.42578125" bestFit="1" customWidth="1"/>
    <col min="58" max="58" width="27.140625" bestFit="1" customWidth="1"/>
    <col min="59" max="59" width="24.140625" bestFit="1" customWidth="1"/>
    <col min="60" max="63" width="5.28515625" bestFit="1" customWidth="1"/>
    <col min="64" max="64" width="24.28515625" bestFit="1" customWidth="1"/>
    <col min="65" max="65" width="10.85546875" bestFit="1" customWidth="1"/>
    <col min="66" max="66" width="8.5703125" bestFit="1" customWidth="1"/>
    <col min="67" max="67" width="10.7109375" bestFit="1" customWidth="1"/>
    <col min="68" max="68" width="21.7109375" bestFit="1" customWidth="1"/>
    <col min="69" max="69" width="7" bestFit="1" customWidth="1"/>
    <col min="70" max="70" width="10.28515625" bestFit="1" customWidth="1"/>
    <col min="71" max="72" width="7" bestFit="1" customWidth="1"/>
    <col min="73" max="73" width="16.5703125" bestFit="1" customWidth="1"/>
    <col min="74" max="74" width="26.85546875" bestFit="1" customWidth="1"/>
    <col min="75" max="75" width="12.85546875" bestFit="1" customWidth="1"/>
    <col min="76" max="76" width="17" bestFit="1" customWidth="1"/>
    <col min="77" max="77" width="30.85546875" bestFit="1" customWidth="1"/>
    <col min="78" max="78" width="12.85546875" bestFit="1" customWidth="1"/>
    <col min="79" max="79" width="26" bestFit="1" customWidth="1"/>
    <col min="80" max="82" width="33.28515625" bestFit="1" customWidth="1"/>
    <col min="83" max="83" width="26.85546875" bestFit="1" customWidth="1"/>
    <col min="84" max="84" width="12.85546875" bestFit="1" customWidth="1"/>
    <col min="85" max="85" width="17" bestFit="1" customWidth="1"/>
    <col min="86" max="86" width="30.85546875" bestFit="1" customWidth="1"/>
    <col min="87" max="87" width="12.85546875" bestFit="1" customWidth="1"/>
    <col min="88" max="88" width="26" bestFit="1" customWidth="1"/>
    <col min="89" max="89" width="33.28515625" bestFit="1" customWidth="1"/>
    <col min="90" max="90" width="16.5703125" bestFit="1" customWidth="1"/>
    <col min="91" max="91" width="26.85546875" bestFit="1" customWidth="1"/>
    <col min="92" max="92" width="12.85546875" bestFit="1" customWidth="1"/>
    <col min="93" max="93" width="17" bestFit="1" customWidth="1"/>
    <col min="94" max="94" width="30.85546875" bestFit="1" customWidth="1"/>
    <col min="95" max="95" width="12.85546875" bestFit="1" customWidth="1"/>
    <col min="96" max="96" width="26" bestFit="1" customWidth="1"/>
    <col min="97" max="97" width="33.28515625" bestFit="1" customWidth="1"/>
    <col min="98" max="99" width="7" bestFit="1" customWidth="1"/>
    <col min="100" max="100" width="16.5703125" bestFit="1" customWidth="1"/>
    <col min="101" max="101" width="26.85546875" bestFit="1" customWidth="1"/>
    <col min="102" max="102" width="12.85546875" bestFit="1" customWidth="1"/>
    <col min="103" max="103" width="17" bestFit="1" customWidth="1"/>
    <col min="104" max="104" width="30.85546875" bestFit="1" customWidth="1"/>
    <col min="105" max="105" width="12.85546875" bestFit="1" customWidth="1"/>
    <col min="106" max="106" width="26" bestFit="1" customWidth="1"/>
    <col min="107" max="107" width="33.28515625" bestFit="1" customWidth="1"/>
    <col min="108" max="108" width="26.85546875" bestFit="1" customWidth="1"/>
    <col min="109" max="109" width="12.85546875" bestFit="1" customWidth="1"/>
    <col min="110" max="110" width="17" bestFit="1" customWidth="1"/>
    <col min="111" max="111" width="30.85546875" bestFit="1" customWidth="1"/>
    <col min="112" max="112" width="12.85546875" bestFit="1" customWidth="1"/>
    <col min="113" max="113" width="26" bestFit="1" customWidth="1"/>
    <col min="114" max="114" width="33.28515625" bestFit="1" customWidth="1"/>
    <col min="115" max="115" width="26" bestFit="1" customWidth="1"/>
    <col min="116" max="116" width="33.28515625" bestFit="1" customWidth="1"/>
    <col min="117" max="117" width="12.85546875" bestFit="1" customWidth="1"/>
    <col min="118" max="118" width="17" bestFit="1" customWidth="1"/>
    <col min="119" max="119" width="30.85546875" bestFit="1" customWidth="1"/>
    <col min="120" max="120" width="12.85546875" bestFit="1" customWidth="1"/>
    <col min="121" max="121" width="26" bestFit="1" customWidth="1"/>
    <col min="122" max="122" width="33.28515625" bestFit="1" customWidth="1"/>
    <col min="123" max="124" width="7" bestFit="1" customWidth="1"/>
    <col min="125" max="125" width="16.5703125" bestFit="1" customWidth="1"/>
    <col min="126" max="126" width="26.85546875" bestFit="1" customWidth="1"/>
    <col min="127" max="127" width="12.85546875" bestFit="1" customWidth="1"/>
    <col min="128" max="128" width="17" bestFit="1" customWidth="1"/>
    <col min="129" max="129" width="30.85546875" bestFit="1" customWidth="1"/>
    <col min="130" max="130" width="12.85546875" bestFit="1" customWidth="1"/>
    <col min="131" max="131" width="26" bestFit="1" customWidth="1"/>
    <col min="132" max="133" width="33.28515625" bestFit="1" customWidth="1"/>
    <col min="134" max="134" width="12.85546875" bestFit="1" customWidth="1"/>
    <col min="135" max="135" width="17" bestFit="1" customWidth="1"/>
    <col min="136" max="136" width="30.85546875" bestFit="1" customWidth="1"/>
    <col min="137" max="137" width="12.85546875" bestFit="1" customWidth="1"/>
    <col min="138" max="138" width="26" bestFit="1" customWidth="1"/>
    <col min="139" max="139" width="33.28515625" bestFit="1" customWidth="1"/>
    <col min="140" max="140" width="26.85546875" bestFit="1" customWidth="1"/>
    <col min="141" max="141" width="12.85546875" bestFit="1" customWidth="1"/>
    <col min="142" max="142" width="17" bestFit="1" customWidth="1"/>
    <col min="143" max="143" width="30.85546875" bestFit="1" customWidth="1"/>
    <col min="144" max="144" width="12.85546875" bestFit="1" customWidth="1"/>
    <col min="145" max="145" width="26" bestFit="1" customWidth="1"/>
    <col min="146" max="146" width="33.28515625" bestFit="1" customWidth="1"/>
    <col min="147" max="147" width="26" bestFit="1" customWidth="1"/>
    <col min="148" max="148" width="33.28515625" bestFit="1" customWidth="1"/>
    <col min="149" max="149" width="12.85546875" bestFit="1" customWidth="1"/>
    <col min="150" max="150" width="26" bestFit="1" customWidth="1"/>
    <col min="151" max="151" width="33.28515625" bestFit="1" customWidth="1"/>
    <col min="152" max="152" width="17" bestFit="1" customWidth="1"/>
    <col min="153" max="153" width="30.85546875" bestFit="1" customWidth="1"/>
    <col min="154" max="154" width="12.85546875" bestFit="1" customWidth="1"/>
    <col min="155" max="155" width="26" bestFit="1" customWidth="1"/>
    <col min="156" max="156" width="33.28515625" bestFit="1" customWidth="1"/>
    <col min="157" max="157" width="30.85546875" bestFit="1" customWidth="1"/>
    <col min="158" max="158" width="12.85546875" bestFit="1" customWidth="1"/>
    <col min="159" max="159" width="26" bestFit="1" customWidth="1"/>
    <col min="160" max="160" width="33.28515625" customWidth="1"/>
    <col min="161" max="161" width="26.85546875" bestFit="1" customWidth="1"/>
    <col min="162" max="162" width="12.85546875" bestFit="1" customWidth="1"/>
    <col min="163" max="163" width="17" bestFit="1" customWidth="1"/>
    <col min="164" max="164" width="30.85546875" bestFit="1" customWidth="1"/>
    <col min="165" max="165" width="12.85546875" customWidth="1"/>
    <col min="166" max="166" width="26" bestFit="1" customWidth="1"/>
    <col min="167" max="167" width="33.28515625" bestFit="1" customWidth="1"/>
    <col min="168" max="168" width="17" bestFit="1" customWidth="1"/>
    <col min="169" max="169" width="30.85546875" bestFit="1" customWidth="1"/>
    <col min="170" max="170" width="12.85546875" bestFit="1" customWidth="1"/>
    <col min="171" max="171" width="26" bestFit="1" customWidth="1"/>
    <col min="172" max="172" width="33.28515625" bestFit="1" customWidth="1"/>
    <col min="173" max="173" width="26" bestFit="1" customWidth="1"/>
    <col min="174" max="174" width="33.28515625" bestFit="1" customWidth="1"/>
    <col min="175" max="175" width="12.85546875" bestFit="1" customWidth="1"/>
    <col min="176" max="176" width="17" bestFit="1" customWidth="1"/>
    <col min="177" max="177" width="30.85546875" bestFit="1" customWidth="1"/>
    <col min="178" max="178" width="12.85546875" bestFit="1" customWidth="1"/>
    <col min="179" max="179" width="26" bestFit="1" customWidth="1"/>
    <col min="180" max="180" width="33.28515625" bestFit="1" customWidth="1"/>
    <col min="181" max="181" width="12.85546875" bestFit="1" customWidth="1"/>
    <col min="182" max="182" width="26" bestFit="1" customWidth="1"/>
    <col min="183" max="183" width="33.28515625" bestFit="1" customWidth="1"/>
    <col min="184" max="184" width="30.85546875" bestFit="1" customWidth="1"/>
    <col min="185" max="185" width="12.85546875" bestFit="1" customWidth="1"/>
    <col min="186" max="186" width="26" bestFit="1" customWidth="1"/>
    <col min="187" max="187" width="33.28515625" bestFit="1" customWidth="1"/>
    <col min="188" max="188" width="26" bestFit="1" customWidth="1"/>
    <col min="189" max="189" width="33.28515625" bestFit="1" customWidth="1"/>
    <col min="190" max="190" width="12.85546875" bestFit="1" customWidth="1"/>
    <col min="191" max="191" width="17" bestFit="1" customWidth="1"/>
    <col min="192" max="192" width="30.85546875" bestFit="1" customWidth="1"/>
    <col min="193" max="193" width="12.85546875" bestFit="1" customWidth="1"/>
    <col min="194" max="194" width="26" bestFit="1" customWidth="1"/>
    <col min="195" max="195" width="33.28515625" bestFit="1" customWidth="1"/>
    <col min="196" max="196" width="16.5703125" bestFit="1" customWidth="1"/>
    <col min="197" max="197" width="26.85546875" bestFit="1" customWidth="1"/>
    <col min="198" max="198" width="12.85546875" bestFit="1" customWidth="1"/>
    <col min="199" max="199" width="17" bestFit="1" customWidth="1"/>
    <col min="200" max="200" width="30.85546875" bestFit="1" customWidth="1"/>
    <col min="201" max="201" width="12.85546875" bestFit="1" customWidth="1"/>
    <col min="202" max="202" width="26" bestFit="1" customWidth="1"/>
    <col min="203" max="203" width="33.28515625" bestFit="1" customWidth="1"/>
    <col min="204" max="204" width="12.42578125" bestFit="1" customWidth="1"/>
    <col min="205" max="205" width="16.42578125" bestFit="1" customWidth="1"/>
    <col min="206" max="206" width="29.5703125" bestFit="1" customWidth="1"/>
    <col min="207" max="207" width="12.42578125" bestFit="1" customWidth="1"/>
    <col min="208" max="208" width="24.85546875" bestFit="1" customWidth="1"/>
    <col min="209" max="209" width="31.85546875" bestFit="1" customWidth="1"/>
    <col min="210" max="210" width="12.42578125" bestFit="1" customWidth="1"/>
    <col min="211" max="211" width="16.42578125" bestFit="1" customWidth="1"/>
    <col min="212" max="212" width="29.5703125" bestFit="1" customWidth="1"/>
    <col min="213" max="213" width="12.42578125" bestFit="1" customWidth="1"/>
    <col min="214" max="214" width="24.85546875" bestFit="1" customWidth="1"/>
    <col min="215" max="215" width="31.85546875" bestFit="1" customWidth="1"/>
    <col min="216" max="217" width="6.85546875" bestFit="1" customWidth="1"/>
    <col min="218" max="218" width="15.85546875" bestFit="1" customWidth="1"/>
    <col min="219" max="219" width="25.7109375" bestFit="1" customWidth="1"/>
    <col min="220" max="220" width="12.42578125" bestFit="1" customWidth="1"/>
    <col min="221" max="221" width="16.42578125" bestFit="1" customWidth="1"/>
    <col min="222" max="222" width="29.5703125" bestFit="1" customWidth="1"/>
    <col min="223" max="223" width="12.42578125" bestFit="1" customWidth="1"/>
    <col min="224" max="224" width="24.85546875" bestFit="1" customWidth="1"/>
    <col min="225" max="225" width="31.85546875" bestFit="1" customWidth="1"/>
    <col min="226" max="226" width="30.85546875" bestFit="1" customWidth="1"/>
    <col min="227" max="227" width="12.85546875" bestFit="1" customWidth="1"/>
    <col min="228" max="228" width="26" bestFit="1" customWidth="1"/>
    <col min="229" max="229" width="33.28515625" customWidth="1"/>
    <col min="230" max="230" width="26.85546875" bestFit="1" customWidth="1"/>
    <col min="231" max="231" width="12.85546875" bestFit="1" customWidth="1"/>
    <col min="232" max="232" width="17" bestFit="1" customWidth="1"/>
    <col min="233" max="233" width="12.85546875" customWidth="1"/>
    <col min="234" max="234" width="26" bestFit="1" customWidth="1"/>
    <col min="235" max="235" width="33.28515625" bestFit="1" customWidth="1"/>
    <col min="236" max="236" width="17" bestFit="1" customWidth="1"/>
    <col min="237" max="237" width="12.85546875" bestFit="1" customWidth="1"/>
    <col min="238" max="238" width="26" bestFit="1" customWidth="1"/>
    <col min="239" max="239" width="33.28515625" bestFit="1" customWidth="1"/>
    <col min="240" max="240" width="7" customWidth="1"/>
    <col min="241" max="241" width="16.5703125" bestFit="1" customWidth="1"/>
    <col min="242" max="242" width="26.85546875" bestFit="1" customWidth="1"/>
    <col min="243" max="243" width="12.85546875" bestFit="1" customWidth="1"/>
    <col min="244" max="244" width="17" bestFit="1" customWidth="1"/>
    <col min="245" max="245" width="12.85546875" bestFit="1" customWidth="1"/>
    <col min="246" max="246" width="26" bestFit="1" customWidth="1"/>
    <col min="247" max="247" width="33.28515625" bestFit="1" customWidth="1"/>
    <col min="248" max="248" width="12.85546875" bestFit="1" customWidth="1"/>
    <col min="249" max="249" width="17" bestFit="1" customWidth="1"/>
    <col min="250" max="250" width="12.85546875" bestFit="1" customWidth="1"/>
    <col min="251" max="251" width="26" bestFit="1" customWidth="1"/>
    <col min="252" max="252" width="33.28515625" bestFit="1" customWidth="1"/>
    <col min="253" max="253" width="26.85546875" bestFit="1" customWidth="1"/>
    <col min="254" max="254" width="12.85546875" bestFit="1" customWidth="1"/>
    <col min="255" max="255" width="17" bestFit="1" customWidth="1"/>
    <col min="256" max="256" width="12.85546875" bestFit="1" customWidth="1"/>
    <col min="257" max="257" width="26" bestFit="1" customWidth="1"/>
    <col min="258" max="258" width="33.28515625" bestFit="1" customWidth="1"/>
    <col min="259" max="259" width="7" customWidth="1"/>
    <col min="260" max="260" width="16.5703125" bestFit="1" customWidth="1"/>
    <col min="261" max="261" width="26.85546875" bestFit="1" customWidth="1"/>
    <col min="262" max="262" width="12.85546875" bestFit="1" customWidth="1"/>
    <col min="263" max="263" width="17" bestFit="1" customWidth="1"/>
    <col min="264" max="264" width="12.85546875" customWidth="1"/>
    <col min="265" max="265" width="26" bestFit="1" customWidth="1"/>
    <col min="266" max="266" width="33.28515625" bestFit="1" customWidth="1"/>
    <col min="267" max="267" width="17" bestFit="1" customWidth="1"/>
    <col min="268" max="268" width="12.85546875" customWidth="1"/>
    <col min="269" max="269" width="26" bestFit="1" customWidth="1"/>
    <col min="270" max="270" width="33.28515625" bestFit="1" customWidth="1"/>
    <col min="271" max="271" width="17" bestFit="1" customWidth="1"/>
    <col min="272" max="272" width="12.85546875" bestFit="1" customWidth="1"/>
    <col min="273" max="273" width="26" bestFit="1" customWidth="1"/>
    <col min="274" max="274" width="33.28515625" bestFit="1" customWidth="1"/>
    <col min="275" max="275" width="26" bestFit="1" customWidth="1"/>
    <col min="276" max="276" width="33.28515625" bestFit="1" customWidth="1"/>
    <col min="277" max="277" width="7" customWidth="1"/>
    <col min="278" max="278" width="16.5703125" bestFit="1" customWidth="1"/>
    <col min="279" max="279" width="26.85546875" bestFit="1" customWidth="1"/>
    <col min="280" max="280" width="12.85546875" bestFit="1" customWidth="1"/>
    <col min="281" max="281" width="17" bestFit="1" customWidth="1"/>
    <col min="282" max="282" width="12.85546875" bestFit="1" customWidth="1"/>
    <col min="283" max="283" width="26" bestFit="1" customWidth="1"/>
    <col min="284" max="284" width="33.28515625" bestFit="1" customWidth="1"/>
    <col min="285" max="285" width="26" bestFit="1" customWidth="1"/>
    <col min="286" max="286" width="33.28515625" bestFit="1" customWidth="1"/>
    <col min="287" max="287" width="26" bestFit="1" customWidth="1"/>
    <col min="288" max="288" width="33.28515625" bestFit="1" customWidth="1"/>
    <col min="289" max="289" width="7" customWidth="1"/>
    <col min="290" max="290" width="16.5703125" bestFit="1" customWidth="1"/>
    <col min="291" max="291" width="26.85546875" bestFit="1" customWidth="1"/>
    <col min="292" max="292" width="12.85546875" bestFit="1" customWidth="1"/>
    <col min="293" max="293" width="17" bestFit="1" customWidth="1"/>
    <col min="294" max="294" width="12.85546875" bestFit="1" customWidth="1"/>
    <col min="295" max="295" width="26" bestFit="1" customWidth="1"/>
    <col min="296" max="296" width="33.28515625" bestFit="1" customWidth="1"/>
    <col min="297" max="297" width="7" customWidth="1"/>
    <col min="298" max="298" width="16.5703125" bestFit="1" customWidth="1"/>
    <col min="299" max="299" width="26.85546875" bestFit="1" customWidth="1"/>
    <col min="300" max="300" width="12.85546875" bestFit="1" customWidth="1"/>
    <col min="301" max="301" width="17" bestFit="1" customWidth="1"/>
    <col min="302" max="302" width="12.85546875" bestFit="1" customWidth="1"/>
    <col min="303" max="303" width="26" bestFit="1" customWidth="1"/>
    <col min="304" max="304" width="33.28515625" bestFit="1" customWidth="1"/>
    <col min="305" max="305" width="10.28515625" bestFit="1" customWidth="1"/>
    <col min="306" max="307" width="7" bestFit="1" customWidth="1"/>
    <col min="308" max="308" width="16.5703125" bestFit="1" customWidth="1"/>
    <col min="309" max="309" width="26.85546875" bestFit="1" customWidth="1"/>
    <col min="310" max="310" width="12.85546875" bestFit="1" customWidth="1"/>
    <col min="311" max="311" width="17" bestFit="1" customWidth="1"/>
    <col min="312" max="312" width="12.85546875" bestFit="1" customWidth="1"/>
    <col min="313" max="313" width="26" bestFit="1" customWidth="1"/>
    <col min="314" max="314" width="33.28515625" bestFit="1" customWidth="1"/>
    <col min="315" max="315" width="12.85546875" customWidth="1"/>
    <col min="316" max="316" width="26" bestFit="1" customWidth="1"/>
    <col min="317" max="317" width="33.28515625" bestFit="1" customWidth="1"/>
    <col min="318" max="318" width="26" bestFit="1" customWidth="1"/>
    <col min="319" max="319" width="33.28515625" bestFit="1" customWidth="1"/>
    <col min="320" max="320" width="12.85546875" bestFit="1" customWidth="1"/>
    <col min="321" max="321" width="26" bestFit="1" customWidth="1"/>
    <col min="322" max="322" width="33.28515625" bestFit="1" customWidth="1"/>
    <col min="323" max="323" width="10.7109375" bestFit="1" customWidth="1"/>
    <col min="324" max="324" width="21.7109375" bestFit="1" customWidth="1"/>
    <col min="325" max="325" width="7" bestFit="1" customWidth="1"/>
    <col min="326" max="326" width="10.28515625" bestFit="1" customWidth="1"/>
    <col min="327" max="327" width="7" bestFit="1" customWidth="1"/>
    <col min="328" max="328" width="7" customWidth="1"/>
    <col min="329" max="329" width="16.5703125" bestFit="1" customWidth="1"/>
    <col min="330" max="330" width="26.85546875" bestFit="1" customWidth="1"/>
    <col min="331" max="331" width="12.85546875" bestFit="1" customWidth="1"/>
    <col min="332" max="332" width="17" bestFit="1" customWidth="1"/>
    <col min="333" max="333" width="12.85546875" bestFit="1" customWidth="1"/>
    <col min="334" max="334" width="26" bestFit="1" customWidth="1"/>
    <col min="335" max="335" width="33.28515625" bestFit="1" customWidth="1"/>
    <col min="336" max="336" width="26" bestFit="1" customWidth="1"/>
    <col min="337" max="337" width="33.28515625" bestFit="1" customWidth="1"/>
    <col min="338" max="338" width="7" bestFit="1" customWidth="1"/>
    <col min="339" max="339" width="16.5703125" bestFit="1" customWidth="1"/>
    <col min="340" max="340" width="26.85546875" customWidth="1"/>
    <col min="341" max="341" width="12.85546875" bestFit="1" customWidth="1"/>
    <col min="342" max="342" width="17" bestFit="1" customWidth="1"/>
    <col min="343" max="343" width="12.85546875" bestFit="1" customWidth="1"/>
    <col min="344" max="344" width="26" bestFit="1" customWidth="1"/>
    <col min="345" max="345" width="33.28515625" bestFit="1" customWidth="1"/>
    <col min="346" max="346" width="12.85546875" bestFit="1" customWidth="1"/>
    <col min="347" max="347" width="17" bestFit="1" customWidth="1"/>
    <col min="348" max="348" width="12.85546875" bestFit="1" customWidth="1"/>
    <col min="349" max="349" width="26" bestFit="1" customWidth="1"/>
    <col min="350" max="350" width="33.28515625" bestFit="1" customWidth="1"/>
    <col min="351" max="351" width="12.85546875" bestFit="1" customWidth="1"/>
    <col min="352" max="352" width="26" bestFit="1" customWidth="1"/>
    <col min="353" max="353" width="33.28515625" bestFit="1" customWidth="1"/>
    <col min="354" max="354" width="12.85546875" customWidth="1"/>
    <col min="355" max="355" width="17" bestFit="1" customWidth="1"/>
    <col min="356" max="356" width="12.85546875" customWidth="1"/>
    <col min="357" max="357" width="26" bestFit="1" customWidth="1"/>
    <col min="358" max="358" width="33.28515625" bestFit="1" customWidth="1"/>
    <col min="359" max="359" width="17" bestFit="1" customWidth="1"/>
    <col min="360" max="360" width="12.85546875" bestFit="1" customWidth="1"/>
    <col min="361" max="361" width="26" bestFit="1" customWidth="1"/>
    <col min="362" max="362" width="33.28515625" bestFit="1" customWidth="1"/>
    <col min="363" max="363" width="26.85546875" bestFit="1" customWidth="1"/>
    <col min="364" max="364" width="12.85546875" bestFit="1" customWidth="1"/>
    <col min="365" max="365" width="17" bestFit="1" customWidth="1"/>
    <col min="366" max="366" width="12.85546875" bestFit="1" customWidth="1"/>
    <col min="367" max="367" width="26" bestFit="1" customWidth="1"/>
    <col min="368" max="368" width="33.28515625" bestFit="1" customWidth="1"/>
    <col min="369" max="369" width="26.85546875" bestFit="1" customWidth="1"/>
    <col min="370" max="370" width="12.85546875" bestFit="1" customWidth="1"/>
    <col min="371" max="371" width="17" bestFit="1" customWidth="1"/>
    <col min="372" max="372" width="12.85546875" bestFit="1" customWidth="1"/>
    <col min="373" max="373" width="26" bestFit="1" customWidth="1"/>
    <col min="374" max="374" width="33.28515625" bestFit="1" customWidth="1"/>
    <col min="375" max="375" width="12.85546875" customWidth="1"/>
    <col min="376" max="376" width="26" bestFit="1" customWidth="1"/>
    <col min="377" max="377" width="33.28515625" bestFit="1" customWidth="1"/>
    <col min="378" max="378" width="26" bestFit="1" customWidth="1"/>
    <col min="379" max="379" width="33.28515625" bestFit="1" customWidth="1"/>
    <col min="380" max="380" width="17" bestFit="1" customWidth="1"/>
    <col min="381" max="381" width="12.85546875" customWidth="1"/>
    <col min="382" max="382" width="26" bestFit="1" customWidth="1"/>
    <col min="383" max="383" width="33.28515625" bestFit="1" customWidth="1"/>
    <col min="384" max="384" width="17" bestFit="1" customWidth="1"/>
    <col min="385" max="385" width="12.85546875" bestFit="1" customWidth="1"/>
    <col min="386" max="386" width="26" bestFit="1" customWidth="1"/>
    <col min="387" max="387" width="33.28515625" bestFit="1" customWidth="1"/>
    <col min="388" max="388" width="12.85546875" bestFit="1" customWidth="1"/>
    <col min="389" max="389" width="26" bestFit="1" customWidth="1"/>
    <col min="390" max="390" width="33.28515625" bestFit="1" customWidth="1"/>
    <col min="391" max="391" width="12.85546875" bestFit="1" customWidth="1"/>
    <col min="392" max="392" width="17" bestFit="1" customWidth="1"/>
    <col min="393" max="393" width="12.85546875" bestFit="1" customWidth="1"/>
    <col min="394" max="394" width="26" bestFit="1" customWidth="1"/>
    <col min="395" max="395" width="33.28515625" bestFit="1" customWidth="1"/>
    <col min="396" max="396" width="12.85546875" bestFit="1" customWidth="1"/>
    <col min="397" max="397" width="26" bestFit="1" customWidth="1"/>
    <col min="398" max="398" width="33.28515625" bestFit="1" customWidth="1"/>
    <col min="399" max="399" width="12.85546875" bestFit="1" customWidth="1"/>
    <col min="400" max="400" width="26" bestFit="1" customWidth="1"/>
    <col min="401" max="401" width="33.28515625" bestFit="1" customWidth="1"/>
    <col min="402" max="402" width="12.85546875" bestFit="1" customWidth="1"/>
    <col min="403" max="403" width="26" bestFit="1" customWidth="1"/>
    <col min="404" max="404" width="33.28515625" bestFit="1" customWidth="1"/>
    <col min="405" max="405" width="12.85546875" customWidth="1"/>
    <col min="406" max="406" width="26" bestFit="1" customWidth="1"/>
    <col min="407" max="407" width="33.28515625" bestFit="1" customWidth="1"/>
    <col min="408" max="408" width="17" bestFit="1" customWidth="1"/>
    <col min="409" max="409" width="12.85546875" bestFit="1" customWidth="1"/>
    <col min="410" max="410" width="26" bestFit="1" customWidth="1"/>
    <col min="411" max="411" width="33.28515625" bestFit="1" customWidth="1"/>
    <col min="412" max="412" width="12.85546875" bestFit="1" customWidth="1"/>
    <col min="413" max="413" width="26" bestFit="1" customWidth="1"/>
    <col min="414" max="414" width="33.28515625" bestFit="1" customWidth="1"/>
    <col min="415" max="415" width="12.85546875" bestFit="1" customWidth="1"/>
    <col min="416" max="416" width="26" bestFit="1" customWidth="1"/>
    <col min="417" max="417" width="33.28515625" bestFit="1" customWidth="1"/>
    <col min="418" max="418" width="12.85546875" bestFit="1" customWidth="1"/>
    <col min="419" max="419" width="17" bestFit="1" customWidth="1"/>
    <col min="420" max="420" width="12.85546875" customWidth="1"/>
    <col min="421" max="421" width="26" bestFit="1" customWidth="1"/>
    <col min="422" max="422" width="33.28515625" bestFit="1" customWidth="1"/>
    <col min="423" max="423" width="17" bestFit="1" customWidth="1"/>
    <col min="424" max="424" width="12.85546875" bestFit="1" customWidth="1"/>
    <col min="425" max="425" width="26" bestFit="1" customWidth="1"/>
    <col min="426" max="426" width="33.28515625" bestFit="1" customWidth="1"/>
    <col min="427" max="427" width="26.85546875" customWidth="1"/>
    <col min="428" max="428" width="12.85546875" bestFit="1" customWidth="1"/>
    <col min="429" max="429" width="17" bestFit="1" customWidth="1"/>
    <col min="430" max="430" width="12.85546875" bestFit="1" customWidth="1"/>
    <col min="431" max="431" width="26" bestFit="1" customWidth="1"/>
    <col min="432" max="432" width="33.28515625" bestFit="1" customWidth="1"/>
    <col min="433" max="433" width="12.85546875" bestFit="1" customWidth="1"/>
    <col min="434" max="434" width="17" bestFit="1" customWidth="1"/>
    <col min="435" max="435" width="12.85546875" customWidth="1"/>
    <col min="436" max="436" width="26" bestFit="1" customWidth="1"/>
    <col min="437" max="437" width="33.28515625" bestFit="1" customWidth="1"/>
    <col min="438" max="438" width="17" bestFit="1" customWidth="1"/>
    <col min="439" max="439" width="12.85546875" bestFit="1" customWidth="1"/>
    <col min="440" max="440" width="26" bestFit="1" customWidth="1"/>
    <col min="441" max="441" width="33.28515625" bestFit="1" customWidth="1"/>
    <col min="442" max="442" width="26" bestFit="1" customWidth="1"/>
    <col min="443" max="443" width="33.28515625" bestFit="1" customWidth="1"/>
    <col min="444" max="444" width="26" bestFit="1" customWidth="1"/>
    <col min="445" max="445" width="33.28515625" bestFit="1" customWidth="1"/>
    <col min="446" max="446" width="26" bestFit="1" customWidth="1"/>
    <col min="447" max="447" width="33.28515625" bestFit="1" customWidth="1"/>
    <col min="448" max="448" width="26" bestFit="1" customWidth="1"/>
    <col min="449" max="449" width="33.28515625" bestFit="1" customWidth="1"/>
    <col min="450" max="450" width="12.85546875" bestFit="1" customWidth="1"/>
    <col min="451" max="451" width="17" bestFit="1" customWidth="1"/>
    <col min="452" max="452" width="12.85546875" bestFit="1" customWidth="1"/>
    <col min="453" max="453" width="26" bestFit="1" customWidth="1"/>
    <col min="454" max="454" width="33.28515625" bestFit="1" customWidth="1"/>
    <col min="455" max="455" width="16.5703125" bestFit="1" customWidth="1"/>
    <col min="456" max="456" width="26.85546875" bestFit="1" customWidth="1"/>
    <col min="457" max="457" width="12.85546875" bestFit="1" customWidth="1"/>
    <col min="458" max="458" width="17" bestFit="1" customWidth="1"/>
    <col min="459" max="459" width="12.85546875" bestFit="1" customWidth="1"/>
    <col min="460" max="460" width="26" bestFit="1" customWidth="1"/>
    <col min="461" max="461" width="33.28515625" bestFit="1" customWidth="1"/>
    <col min="462" max="462" width="12.85546875" bestFit="1" customWidth="1"/>
    <col min="463" max="463" width="17" bestFit="1" customWidth="1"/>
    <col min="464" max="464" width="12.85546875" bestFit="1" customWidth="1"/>
    <col min="465" max="465" width="26" bestFit="1" customWidth="1"/>
    <col min="466" max="466" width="33.28515625" bestFit="1" customWidth="1"/>
    <col min="467" max="467" width="12.140625" bestFit="1" customWidth="1"/>
    <col min="468" max="468" width="15.85546875" bestFit="1" customWidth="1"/>
    <col min="469" max="469" width="12.140625" bestFit="1" customWidth="1"/>
    <col min="470" max="470" width="24.28515625" bestFit="1" customWidth="1"/>
    <col min="471" max="471" width="30.85546875" bestFit="1" customWidth="1"/>
    <col min="472" max="472" width="17" bestFit="1" customWidth="1"/>
    <col min="473" max="473" width="12.85546875" bestFit="1" customWidth="1"/>
    <col min="474" max="474" width="26" bestFit="1" customWidth="1"/>
    <col min="475" max="475" width="33.28515625" bestFit="1" customWidth="1"/>
    <col min="476" max="476" width="12.85546875" bestFit="1" customWidth="1"/>
    <col min="477" max="477" width="17" bestFit="1" customWidth="1"/>
    <col min="478" max="478" width="12.85546875" bestFit="1" customWidth="1"/>
    <col min="479" max="479" width="26" bestFit="1" customWidth="1"/>
    <col min="480" max="480" width="33.28515625" bestFit="1" customWidth="1"/>
    <col min="481" max="481" width="7" bestFit="1" customWidth="1"/>
    <col min="482" max="482" width="16.5703125" bestFit="1" customWidth="1"/>
    <col min="483" max="483" width="26.85546875" customWidth="1"/>
    <col min="484" max="484" width="12.85546875" bestFit="1" customWidth="1"/>
    <col min="485" max="485" width="17" bestFit="1" customWidth="1"/>
    <col min="486" max="486" width="12.85546875" bestFit="1" customWidth="1"/>
    <col min="487" max="487" width="26" bestFit="1" customWidth="1"/>
    <col min="488" max="488" width="33.28515625" bestFit="1" customWidth="1"/>
    <col min="489" max="489" width="12.85546875" bestFit="1" customWidth="1"/>
    <col min="490" max="490" width="17" bestFit="1" customWidth="1"/>
    <col min="491" max="491" width="12.85546875" bestFit="1" customWidth="1"/>
    <col min="492" max="492" width="26" bestFit="1" customWidth="1"/>
    <col min="493" max="493" width="33.28515625" bestFit="1" customWidth="1"/>
    <col min="494" max="494" width="7" bestFit="1" customWidth="1"/>
    <col min="495" max="495" width="16.5703125" bestFit="1" customWidth="1"/>
    <col min="496" max="496" width="26.85546875" bestFit="1" customWidth="1"/>
    <col min="497" max="497" width="12.85546875" bestFit="1" customWidth="1"/>
    <col min="498" max="498" width="17" bestFit="1" customWidth="1"/>
    <col min="499" max="499" width="12.85546875" bestFit="1" customWidth="1"/>
    <col min="500" max="500" width="26" bestFit="1" customWidth="1"/>
    <col min="501" max="501" width="33.28515625" bestFit="1" customWidth="1"/>
    <col min="502" max="502" width="16.5703125" bestFit="1" customWidth="1"/>
    <col min="503" max="503" width="26.85546875" bestFit="1" customWidth="1"/>
    <col min="504" max="504" width="12.85546875" bestFit="1" customWidth="1"/>
    <col min="505" max="505" width="17" customWidth="1"/>
    <col min="506" max="506" width="12.85546875" bestFit="1" customWidth="1"/>
    <col min="507" max="507" width="26" bestFit="1" customWidth="1"/>
    <col min="508" max="508" width="33.28515625" bestFit="1" customWidth="1"/>
    <col min="509" max="509" width="12.85546875" bestFit="1" customWidth="1"/>
    <col min="510" max="510" width="26" bestFit="1" customWidth="1"/>
    <col min="511" max="511" width="33.28515625" bestFit="1" customWidth="1"/>
    <col min="512" max="512" width="26" bestFit="1" customWidth="1"/>
    <col min="513" max="513" width="33.28515625" bestFit="1" customWidth="1"/>
    <col min="514" max="514" width="12.140625" bestFit="1" customWidth="1"/>
    <col min="515" max="515" width="24.28515625" bestFit="1" customWidth="1"/>
    <col min="516" max="516" width="30.85546875" bestFit="1" customWidth="1"/>
    <col min="517" max="517" width="12.85546875" bestFit="1" customWidth="1"/>
    <col min="518" max="518" width="17" bestFit="1" customWidth="1"/>
    <col min="519" max="519" width="12.85546875" bestFit="1" customWidth="1"/>
    <col min="520" max="520" width="26" bestFit="1" customWidth="1"/>
    <col min="521" max="521" width="33.28515625" bestFit="1" customWidth="1"/>
    <col min="522" max="522" width="7" customWidth="1"/>
    <col min="523" max="523" width="16.5703125" bestFit="1" customWidth="1"/>
    <col min="524" max="524" width="26.85546875" bestFit="1" customWidth="1"/>
    <col min="525" max="525" width="12.85546875" bestFit="1" customWidth="1"/>
    <col min="526" max="526" width="17" bestFit="1" customWidth="1"/>
    <col min="527" max="527" width="12.85546875" bestFit="1" customWidth="1"/>
    <col min="528" max="528" width="26" bestFit="1" customWidth="1"/>
    <col min="529" max="529" width="33.28515625" bestFit="1" customWidth="1"/>
    <col min="530" max="530" width="16.5703125" bestFit="1" customWidth="1"/>
    <col min="531" max="531" width="26.85546875" bestFit="1" customWidth="1"/>
    <col min="532" max="532" width="12.85546875" bestFit="1" customWidth="1"/>
    <col min="533" max="533" width="17" bestFit="1" customWidth="1"/>
    <col min="534" max="534" width="12.85546875" customWidth="1"/>
    <col min="535" max="535" width="26" bestFit="1" customWidth="1"/>
    <col min="536" max="536" width="33.28515625" bestFit="1" customWidth="1"/>
    <col min="537" max="537" width="17" bestFit="1" customWidth="1"/>
    <col min="538" max="538" width="12.85546875" bestFit="1" customWidth="1"/>
    <col min="539" max="539" width="26" bestFit="1" customWidth="1"/>
    <col min="540" max="540" width="33.28515625" bestFit="1" customWidth="1"/>
    <col min="541" max="541" width="12.85546875" customWidth="1"/>
    <col min="542" max="542" width="17" bestFit="1" customWidth="1"/>
    <col min="543" max="543" width="12.85546875" customWidth="1"/>
    <col min="544" max="544" width="26" bestFit="1" customWidth="1"/>
    <col min="545" max="545" width="33.28515625" bestFit="1" customWidth="1"/>
    <col min="546" max="546" width="17" bestFit="1" customWidth="1"/>
    <col min="547" max="547" width="12.85546875" bestFit="1" customWidth="1"/>
    <col min="548" max="548" width="26" bestFit="1" customWidth="1"/>
    <col min="549" max="549" width="33.28515625" bestFit="1" customWidth="1"/>
    <col min="550" max="550" width="26" bestFit="1" customWidth="1"/>
    <col min="551" max="551" width="33.28515625" bestFit="1" customWidth="1"/>
    <col min="552" max="552" width="12.85546875" bestFit="1" customWidth="1"/>
    <col min="553" max="553" width="17" bestFit="1" customWidth="1"/>
    <col min="554" max="554" width="12.85546875" bestFit="1" customWidth="1"/>
    <col min="555" max="555" width="26" bestFit="1" customWidth="1"/>
    <col min="556" max="556" width="33.28515625" bestFit="1" customWidth="1"/>
    <col min="557" max="557" width="26" bestFit="1" customWidth="1"/>
    <col min="558" max="558" width="33.28515625" bestFit="1" customWidth="1"/>
    <col min="559" max="559" width="12.85546875" bestFit="1" customWidth="1"/>
    <col min="560" max="560" width="17" bestFit="1" customWidth="1"/>
    <col min="561" max="561" width="12.85546875" bestFit="1" customWidth="1"/>
    <col min="562" max="562" width="26" bestFit="1" customWidth="1"/>
    <col min="563" max="563" width="33.28515625" bestFit="1" customWidth="1"/>
    <col min="564" max="564" width="26" bestFit="1" customWidth="1"/>
    <col min="565" max="565" width="33.28515625" bestFit="1" customWidth="1"/>
    <col min="566" max="566" width="26" bestFit="1" customWidth="1"/>
    <col min="567" max="567" width="33.28515625" customWidth="1"/>
    <col min="568" max="568" width="26.85546875" bestFit="1" customWidth="1"/>
    <col min="569" max="570" width="12.85546875" bestFit="1" customWidth="1"/>
    <col min="571" max="571" width="26" bestFit="1" customWidth="1"/>
    <col min="572" max="572" width="33.28515625" bestFit="1" customWidth="1"/>
    <col min="573" max="573" width="26" bestFit="1" customWidth="1"/>
    <col min="574" max="574" width="33.28515625" bestFit="1" customWidth="1"/>
    <col min="575" max="576" width="7" bestFit="1" customWidth="1"/>
    <col min="577" max="577" width="16.5703125" bestFit="1" customWidth="1"/>
    <col min="578" max="578" width="26.85546875" bestFit="1" customWidth="1"/>
    <col min="579" max="580" width="12.85546875" bestFit="1" customWidth="1"/>
    <col min="581" max="581" width="26" bestFit="1" customWidth="1"/>
    <col min="582" max="582" width="33.28515625" bestFit="1" customWidth="1"/>
    <col min="583" max="584" width="12.85546875" bestFit="1" customWidth="1"/>
    <col min="585" max="585" width="26" bestFit="1" customWidth="1"/>
    <col min="586" max="586" width="33.28515625" bestFit="1" customWidth="1"/>
    <col min="587" max="587" width="16.5703125" bestFit="1" customWidth="1"/>
    <col min="588" max="588" width="26.85546875" bestFit="1" customWidth="1"/>
    <col min="589" max="590" width="12.85546875" bestFit="1" customWidth="1"/>
    <col min="591" max="591" width="26" customWidth="1"/>
    <col min="592" max="594" width="33.28515625" bestFit="1" customWidth="1"/>
    <col min="595" max="596" width="5.28515625" bestFit="1" customWidth="1"/>
    <col min="597" max="597" width="6.28515625" bestFit="1" customWidth="1"/>
    <col min="598" max="598" width="10.85546875" bestFit="1" customWidth="1"/>
    <col min="599" max="599" width="8.5703125" bestFit="1" customWidth="1"/>
    <col min="600" max="600" width="10.7109375" bestFit="1" customWidth="1"/>
    <col min="601" max="601" width="18.5703125" bestFit="1" customWidth="1"/>
    <col min="602" max="602" width="7" customWidth="1"/>
    <col min="603" max="603" width="10.28515625" bestFit="1" customWidth="1"/>
    <col min="604" max="605" width="7" customWidth="1"/>
    <col min="606" max="606" width="16.5703125" bestFit="1" customWidth="1"/>
    <col min="607" max="607" width="26.85546875" bestFit="1" customWidth="1"/>
    <col min="608" max="609" width="12.85546875" bestFit="1" customWidth="1"/>
    <col min="610" max="610" width="26" bestFit="1" customWidth="1"/>
    <col min="611" max="611" width="33.28515625" bestFit="1" customWidth="1"/>
    <col min="612" max="612" width="10.28515625" bestFit="1" customWidth="1"/>
    <col min="613" max="614" width="7" customWidth="1"/>
    <col min="615" max="615" width="16.5703125" bestFit="1" customWidth="1"/>
    <col min="616" max="616" width="26.85546875" bestFit="1" customWidth="1"/>
    <col min="617" max="618" width="12.85546875" bestFit="1" customWidth="1"/>
    <col min="619" max="619" width="26" bestFit="1" customWidth="1"/>
    <col min="620" max="620" width="33.28515625" bestFit="1" customWidth="1"/>
    <col min="621" max="621" width="10.28515625" bestFit="1" customWidth="1"/>
    <col min="622" max="623" width="7" bestFit="1" customWidth="1"/>
    <col min="624" max="624" width="16.5703125" bestFit="1" customWidth="1"/>
    <col min="625" max="625" width="26.85546875" bestFit="1" customWidth="1"/>
    <col min="626" max="627" width="12.85546875" bestFit="1" customWidth="1"/>
    <col min="628" max="628" width="26" bestFit="1" customWidth="1"/>
    <col min="629" max="629" width="33.28515625" bestFit="1" customWidth="1"/>
    <col min="630" max="630" width="26.85546875" bestFit="1" customWidth="1"/>
    <col min="631" max="632" width="12.85546875" customWidth="1"/>
    <col min="633" max="633" width="26" bestFit="1" customWidth="1"/>
    <col min="634" max="634" width="33.28515625" bestFit="1" customWidth="1"/>
    <col min="635" max="635" width="26" bestFit="1" customWidth="1"/>
    <col min="636" max="636" width="33.28515625" bestFit="1" customWidth="1"/>
    <col min="637" max="638" width="12.85546875" bestFit="1" customWidth="1"/>
    <col min="639" max="639" width="26" bestFit="1" customWidth="1"/>
    <col min="640" max="641" width="33.28515625" bestFit="1" customWidth="1"/>
    <col min="642" max="642" width="33.28515625" customWidth="1"/>
    <col min="643" max="644" width="12.85546875" bestFit="1" customWidth="1"/>
    <col min="645" max="645" width="26" bestFit="1" customWidth="1"/>
    <col min="646" max="646" width="33.28515625" bestFit="1" customWidth="1"/>
    <col min="647" max="648" width="12.85546875" bestFit="1" customWidth="1"/>
    <col min="649" max="649" width="26" bestFit="1" customWidth="1"/>
    <col min="650" max="650" width="33.28515625" customWidth="1"/>
    <col min="651" max="652" width="33.28515625" bestFit="1" customWidth="1"/>
    <col min="653" max="653" width="13.5703125" bestFit="1" customWidth="1"/>
    <col min="654" max="654" width="18.5703125" bestFit="1" customWidth="1"/>
    <col min="655" max="655" width="7" bestFit="1" customWidth="1"/>
    <col min="656" max="656" width="10.28515625" bestFit="1" customWidth="1"/>
    <col min="657" max="658" width="7" bestFit="1" customWidth="1"/>
    <col min="659" max="659" width="16.5703125" bestFit="1" customWidth="1"/>
    <col min="660" max="660" width="26.85546875" bestFit="1" customWidth="1"/>
    <col min="661" max="662" width="12.85546875" bestFit="1" customWidth="1"/>
    <col min="663" max="663" width="26" bestFit="1" customWidth="1"/>
    <col min="664" max="664" width="33.28515625" bestFit="1" customWidth="1"/>
    <col min="665" max="665" width="13.85546875" bestFit="1" customWidth="1"/>
    <col min="666" max="666" width="17.140625" bestFit="1" customWidth="1"/>
    <col min="667" max="667" width="13.5703125" bestFit="1" customWidth="1"/>
    <col min="668" max="668" width="11.140625" bestFit="1" customWidth="1"/>
    <col min="669" max="669" width="13.5703125" bestFit="1" customWidth="1"/>
    <col min="670" max="670" width="28.42578125" bestFit="1" customWidth="1"/>
    <col min="671" max="672" width="11.140625" bestFit="1" customWidth="1"/>
    <col min="673" max="673" width="31" bestFit="1" customWidth="1"/>
    <col min="674" max="674" width="11.140625" bestFit="1" customWidth="1"/>
    <col min="675" max="675" width="14" bestFit="1" customWidth="1"/>
    <col min="676" max="677" width="11.140625" bestFit="1" customWidth="1"/>
    <col min="678" max="678" width="12.140625" bestFit="1" customWidth="1"/>
    <col min="679" max="679" width="22.28515625" bestFit="1" customWidth="1"/>
  </cols>
  <sheetData>
    <row r="1" spans="1:80" x14ac:dyDescent="0.25">
      <c r="A1" t="s">
        <v>0</v>
      </c>
      <c r="B1" t="s">
        <v>36</v>
      </c>
      <c r="C1" t="s">
        <v>37</v>
      </c>
      <c r="D1" t="s">
        <v>11</v>
      </c>
      <c r="E1" t="s">
        <v>17</v>
      </c>
      <c r="F1" t="s">
        <v>39</v>
      </c>
      <c r="G1" t="s">
        <v>40</v>
      </c>
      <c r="H1" t="s">
        <v>42</v>
      </c>
      <c r="I1" t="s">
        <v>41</v>
      </c>
      <c r="J1" t="s">
        <v>65</v>
      </c>
      <c r="K1" t="s">
        <v>124</v>
      </c>
      <c r="L1" t="s">
        <v>125</v>
      </c>
      <c r="M1" t="s">
        <v>126</v>
      </c>
      <c r="N1" t="s">
        <v>127</v>
      </c>
      <c r="O1" t="s">
        <v>418</v>
      </c>
      <c r="P1" t="s">
        <v>419</v>
      </c>
      <c r="Q1" t="s">
        <v>420</v>
      </c>
      <c r="R1" t="s">
        <v>421</v>
      </c>
      <c r="S1" t="s">
        <v>366</v>
      </c>
      <c r="T1" t="s">
        <v>367</v>
      </c>
      <c r="U1" t="s">
        <v>128</v>
      </c>
      <c r="V1" t="s">
        <v>129</v>
      </c>
      <c r="W1" t="s">
        <v>163</v>
      </c>
      <c r="X1" t="s">
        <v>164</v>
      </c>
      <c r="Y1" t="s">
        <v>47</v>
      </c>
      <c r="Z1" t="s">
        <v>48</v>
      </c>
      <c r="AA1" t="s">
        <v>130</v>
      </c>
      <c r="AB1" t="s">
        <v>131</v>
      </c>
      <c r="AC1" t="s">
        <v>165</v>
      </c>
      <c r="AD1" t="s">
        <v>166</v>
      </c>
      <c r="AE1" t="s">
        <v>422</v>
      </c>
      <c r="AF1" t="s">
        <v>423</v>
      </c>
      <c r="AG1" t="s">
        <v>88</v>
      </c>
      <c r="AH1" t="s">
        <v>89</v>
      </c>
      <c r="AI1" t="s">
        <v>240</v>
      </c>
      <c r="AJ1" t="s">
        <v>241</v>
      </c>
      <c r="AK1" t="s">
        <v>242</v>
      </c>
      <c r="AL1" t="s">
        <v>243</v>
      </c>
      <c r="AM1" t="s">
        <v>49</v>
      </c>
      <c r="AN1" t="s">
        <v>50</v>
      </c>
      <c r="AO1" t="s">
        <v>262</v>
      </c>
      <c r="AP1" t="s">
        <v>263</v>
      </c>
      <c r="AQ1" t="s">
        <v>299</v>
      </c>
      <c r="AR1" t="s">
        <v>300</v>
      </c>
      <c r="AS1" t="s">
        <v>171</v>
      </c>
      <c r="AT1" t="s">
        <v>244</v>
      </c>
      <c r="AU1" t="s">
        <v>270</v>
      </c>
      <c r="AV1" t="s">
        <v>51</v>
      </c>
      <c r="AW1" t="s">
        <v>52</v>
      </c>
      <c r="AX1" t="s">
        <v>53</v>
      </c>
      <c r="AY1" t="s">
        <v>117</v>
      </c>
      <c r="AZ1" t="s">
        <v>118</v>
      </c>
      <c r="BA1" t="s">
        <v>54</v>
      </c>
      <c r="BB1" t="s">
        <v>61</v>
      </c>
      <c r="BC1" t="s">
        <v>119</v>
      </c>
      <c r="BD1" t="s">
        <v>120</v>
      </c>
      <c r="BE1" t="s">
        <v>301</v>
      </c>
      <c r="BF1" t="s">
        <v>302</v>
      </c>
      <c r="BG1" t="s">
        <v>558</v>
      </c>
      <c r="BH1" t="s">
        <v>232</v>
      </c>
      <c r="BI1" t="s">
        <v>319</v>
      </c>
      <c r="BJ1" t="s">
        <v>400</v>
      </c>
      <c r="BK1" t="s">
        <v>401</v>
      </c>
      <c r="BL1" t="s">
        <v>62</v>
      </c>
      <c r="BM1" t="s">
        <v>38</v>
      </c>
      <c r="BN1" t="s">
        <v>43</v>
      </c>
      <c r="BO1" t="s">
        <v>44</v>
      </c>
      <c r="BP1" t="s">
        <v>1</v>
      </c>
      <c r="BQ1" t="s">
        <v>18</v>
      </c>
      <c r="BR1" t="s">
        <v>21</v>
      </c>
      <c r="BS1" t="s">
        <v>19</v>
      </c>
      <c r="BT1" t="s">
        <v>20</v>
      </c>
      <c r="BU1" t="s">
        <v>22</v>
      </c>
      <c r="BV1" t="s">
        <v>13</v>
      </c>
      <c r="BW1" t="s">
        <v>23</v>
      </c>
      <c r="BX1" t="s">
        <v>69</v>
      </c>
      <c r="BY1" t="s">
        <v>231</v>
      </c>
      <c r="BZ1" t="s">
        <v>24</v>
      </c>
      <c r="CA1" t="s">
        <v>25</v>
      </c>
      <c r="CB1" t="s">
        <v>14</v>
      </c>
    </row>
    <row r="2" spans="1:80" x14ac:dyDescent="0.25">
      <c r="A2" s="26">
        <v>774</v>
      </c>
      <c r="B2" s="26" t="s">
        <v>145</v>
      </c>
      <c r="C2" s="26" t="s">
        <v>146</v>
      </c>
      <c r="D2" s="26" t="s">
        <v>19</v>
      </c>
      <c r="E2" s="1">
        <v>4</v>
      </c>
      <c r="F2" s="5">
        <v>144.018</v>
      </c>
      <c r="G2" s="1">
        <v>576.07000000000005</v>
      </c>
      <c r="H2" s="1">
        <v>187.9</v>
      </c>
      <c r="I2" s="1">
        <v>751.6</v>
      </c>
      <c r="J2" s="1">
        <v>175.52999999999997</v>
      </c>
      <c r="K2" s="5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M2" s="26"/>
      <c r="AN2" s="26"/>
      <c r="AO2" s="26"/>
      <c r="AP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6">
        <v>45202</v>
      </c>
      <c r="BN2" s="26" t="s">
        <v>221</v>
      </c>
      <c r="BO2" s="26" t="s">
        <v>221</v>
      </c>
      <c r="BP2" s="26" t="s">
        <v>215</v>
      </c>
      <c r="BQ2">
        <v>126.68</v>
      </c>
      <c r="BR2">
        <v>219.58</v>
      </c>
      <c r="BS2">
        <v>187.9</v>
      </c>
      <c r="BT2">
        <v>295.27999999999997</v>
      </c>
      <c r="BU2">
        <v>6.31</v>
      </c>
      <c r="BV2">
        <v>35.43</v>
      </c>
      <c r="BW2">
        <v>8.34</v>
      </c>
      <c r="BX2" s="26">
        <v>0</v>
      </c>
      <c r="BY2" s="26">
        <v>74.849999999999994</v>
      </c>
      <c r="BZ2">
        <v>9.5500000000000007</v>
      </c>
      <c r="CA2">
        <v>73.33</v>
      </c>
      <c r="CB2">
        <v>0</v>
      </c>
    </row>
    <row r="3" spans="1:80" x14ac:dyDescent="0.25">
      <c r="A3" s="26">
        <v>774</v>
      </c>
      <c r="B3" s="26" t="s">
        <v>145</v>
      </c>
      <c r="C3" s="26" t="s">
        <v>146</v>
      </c>
      <c r="D3" s="26" t="s">
        <v>21</v>
      </c>
      <c r="E3" s="1">
        <v>8</v>
      </c>
      <c r="F3" s="5">
        <v>144.018</v>
      </c>
      <c r="G3" s="1">
        <v>1152.1400000000001</v>
      </c>
      <c r="H3" s="1">
        <v>219.58</v>
      </c>
      <c r="I3" s="1">
        <v>1756.64</v>
      </c>
      <c r="J3" s="1">
        <v>604.5</v>
      </c>
      <c r="K3" s="5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M3" s="26"/>
      <c r="AN3" s="26"/>
      <c r="AO3" s="26"/>
      <c r="AP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6">
        <v>45202</v>
      </c>
      <c r="BN3" s="26" t="s">
        <v>221</v>
      </c>
      <c r="BO3" s="26" t="s">
        <v>221</v>
      </c>
      <c r="BP3" s="26" t="s">
        <v>215</v>
      </c>
      <c r="BQ3">
        <v>126.68</v>
      </c>
      <c r="BR3">
        <v>219.58</v>
      </c>
      <c r="BS3">
        <v>187.9</v>
      </c>
      <c r="BT3">
        <v>295.27999999999997</v>
      </c>
      <c r="BU3">
        <v>6.31</v>
      </c>
      <c r="BV3">
        <v>35.43</v>
      </c>
      <c r="BW3">
        <v>8.34</v>
      </c>
      <c r="BX3" s="26">
        <v>0</v>
      </c>
      <c r="BY3" s="26">
        <v>74.849999999999994</v>
      </c>
      <c r="BZ3">
        <v>9.5500000000000007</v>
      </c>
      <c r="CA3">
        <v>73.33</v>
      </c>
      <c r="CB3">
        <v>0</v>
      </c>
    </row>
    <row r="4" spans="1:80" x14ac:dyDescent="0.25">
      <c r="A4" s="26">
        <v>774</v>
      </c>
      <c r="B4" s="26" t="s">
        <v>145</v>
      </c>
      <c r="C4" s="26" t="s">
        <v>146</v>
      </c>
      <c r="D4" s="26" t="s">
        <v>593</v>
      </c>
      <c r="E4" s="1">
        <v>4</v>
      </c>
      <c r="F4" s="5">
        <v>80.010000000000005</v>
      </c>
      <c r="G4" s="1">
        <v>320.04000000000002</v>
      </c>
      <c r="H4" s="1">
        <v>126.68</v>
      </c>
      <c r="I4" s="1">
        <v>506.72</v>
      </c>
      <c r="J4" s="1">
        <v>186.68</v>
      </c>
      <c r="K4" s="5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M4" s="26"/>
      <c r="AN4" s="26"/>
      <c r="AO4" s="26"/>
      <c r="AP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6">
        <v>45202</v>
      </c>
      <c r="BN4" s="26" t="s">
        <v>221</v>
      </c>
      <c r="BO4" s="26" t="s">
        <v>221</v>
      </c>
      <c r="BP4" s="26" t="s">
        <v>215</v>
      </c>
      <c r="BQ4">
        <v>126.68</v>
      </c>
      <c r="BR4">
        <v>219.58</v>
      </c>
      <c r="BS4">
        <v>187.9</v>
      </c>
      <c r="BT4">
        <v>295.27999999999997</v>
      </c>
      <c r="BU4">
        <v>6.31</v>
      </c>
      <c r="BV4">
        <v>35.43</v>
      </c>
      <c r="BW4">
        <v>8.34</v>
      </c>
      <c r="BX4" s="26">
        <v>0</v>
      </c>
      <c r="BY4" s="26">
        <v>74.849999999999994</v>
      </c>
      <c r="BZ4">
        <v>9.5500000000000007</v>
      </c>
      <c r="CA4">
        <v>73.33</v>
      </c>
      <c r="CB4">
        <v>0</v>
      </c>
    </row>
    <row r="5" spans="1:80" x14ac:dyDescent="0.25">
      <c r="A5" s="26">
        <v>774</v>
      </c>
      <c r="B5" s="26" t="s">
        <v>145</v>
      </c>
      <c r="C5" s="26" t="s">
        <v>146</v>
      </c>
      <c r="D5" s="26" t="s">
        <v>19</v>
      </c>
      <c r="E5" s="1">
        <v>4</v>
      </c>
      <c r="F5" s="5">
        <v>144.018</v>
      </c>
      <c r="G5" s="1">
        <v>576.07000000000005</v>
      </c>
      <c r="H5" s="1">
        <v>187.9</v>
      </c>
      <c r="I5" s="1">
        <v>751.6</v>
      </c>
      <c r="J5" s="1">
        <v>175.52999999999997</v>
      </c>
      <c r="K5" s="5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M5" s="26"/>
      <c r="AN5" s="26"/>
      <c r="AO5" s="26"/>
      <c r="AP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6">
        <v>45203</v>
      </c>
      <c r="BN5" s="26" t="s">
        <v>221</v>
      </c>
      <c r="BO5" s="26" t="s">
        <v>221</v>
      </c>
      <c r="BP5" s="26" t="s">
        <v>215</v>
      </c>
      <c r="BQ5">
        <v>126.68</v>
      </c>
      <c r="BR5">
        <v>219.58</v>
      </c>
      <c r="BS5">
        <v>187.9</v>
      </c>
      <c r="BT5">
        <v>295.27999999999997</v>
      </c>
      <c r="BU5">
        <v>6.31</v>
      </c>
      <c r="BV5">
        <v>35.43</v>
      </c>
      <c r="BW5">
        <v>8.34</v>
      </c>
      <c r="BX5" s="26">
        <v>0</v>
      </c>
      <c r="BY5" s="26">
        <v>74.849999999999994</v>
      </c>
      <c r="BZ5">
        <v>9.5500000000000007</v>
      </c>
      <c r="CA5">
        <v>73.33</v>
      </c>
      <c r="CB5">
        <v>0</v>
      </c>
    </row>
    <row r="6" spans="1:80" x14ac:dyDescent="0.25">
      <c r="A6" s="26">
        <v>774</v>
      </c>
      <c r="B6" s="26" t="s">
        <v>145</v>
      </c>
      <c r="C6" s="26" t="s">
        <v>146</v>
      </c>
      <c r="D6" s="26" t="s">
        <v>21</v>
      </c>
      <c r="E6" s="1">
        <v>8</v>
      </c>
      <c r="F6" s="5">
        <v>144.018</v>
      </c>
      <c r="G6" s="1">
        <v>1152.1400000000001</v>
      </c>
      <c r="H6" s="1">
        <v>219.58</v>
      </c>
      <c r="I6" s="1">
        <v>1756.64</v>
      </c>
      <c r="J6" s="1">
        <v>604.5</v>
      </c>
      <c r="K6" s="5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M6" s="26"/>
      <c r="AN6" s="26"/>
      <c r="AO6" s="26"/>
      <c r="AP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6">
        <v>45203</v>
      </c>
      <c r="BN6" s="26" t="s">
        <v>221</v>
      </c>
      <c r="BO6" s="26" t="s">
        <v>221</v>
      </c>
      <c r="BP6" s="26" t="s">
        <v>215</v>
      </c>
      <c r="BQ6">
        <v>126.68</v>
      </c>
      <c r="BR6">
        <v>219.58</v>
      </c>
      <c r="BS6">
        <v>187.9</v>
      </c>
      <c r="BT6">
        <v>295.27999999999997</v>
      </c>
      <c r="BU6">
        <v>6.31</v>
      </c>
      <c r="BV6">
        <v>35.43</v>
      </c>
      <c r="BW6">
        <v>8.34</v>
      </c>
      <c r="BX6" s="26">
        <v>0</v>
      </c>
      <c r="BY6" s="26">
        <v>74.849999999999994</v>
      </c>
      <c r="BZ6">
        <v>9.5500000000000007</v>
      </c>
      <c r="CA6">
        <v>73.33</v>
      </c>
      <c r="CB6">
        <v>0</v>
      </c>
    </row>
    <row r="7" spans="1:80" x14ac:dyDescent="0.25">
      <c r="A7" s="26">
        <v>774</v>
      </c>
      <c r="B7" s="26" t="s">
        <v>145</v>
      </c>
      <c r="C7" s="26" t="s">
        <v>146</v>
      </c>
      <c r="D7" s="26" t="s">
        <v>593</v>
      </c>
      <c r="E7" s="1">
        <v>4</v>
      </c>
      <c r="F7" s="5">
        <v>80.010000000000005</v>
      </c>
      <c r="G7" s="1">
        <v>320.04000000000002</v>
      </c>
      <c r="H7" s="1">
        <v>126.68</v>
      </c>
      <c r="I7" s="1">
        <v>506.72</v>
      </c>
      <c r="J7" s="1">
        <v>186.68</v>
      </c>
      <c r="K7" s="5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M7" s="26"/>
      <c r="AN7" s="26"/>
      <c r="AO7" s="26"/>
      <c r="AP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6">
        <v>45203</v>
      </c>
      <c r="BN7" s="26" t="s">
        <v>221</v>
      </c>
      <c r="BO7" s="26" t="s">
        <v>221</v>
      </c>
      <c r="BP7" s="26" t="s">
        <v>215</v>
      </c>
      <c r="BQ7">
        <v>126.68</v>
      </c>
      <c r="BR7">
        <v>219.58</v>
      </c>
      <c r="BS7">
        <v>187.9</v>
      </c>
      <c r="BT7">
        <v>295.27999999999997</v>
      </c>
      <c r="BU7">
        <v>6.31</v>
      </c>
      <c r="BV7">
        <v>35.43</v>
      </c>
      <c r="BW7">
        <v>8.34</v>
      </c>
      <c r="BX7" s="26">
        <v>0</v>
      </c>
      <c r="BY7" s="26">
        <v>74.849999999999994</v>
      </c>
      <c r="BZ7">
        <v>9.5500000000000007</v>
      </c>
      <c r="CA7">
        <v>73.33</v>
      </c>
      <c r="CB7">
        <v>0</v>
      </c>
    </row>
    <row r="8" spans="1:80" x14ac:dyDescent="0.25">
      <c r="A8" s="26">
        <v>774</v>
      </c>
      <c r="B8" s="26" t="s">
        <v>145</v>
      </c>
      <c r="C8" s="26" t="s">
        <v>146</v>
      </c>
      <c r="D8" s="26" t="s">
        <v>19</v>
      </c>
      <c r="E8" s="1">
        <v>4</v>
      </c>
      <c r="F8" s="5">
        <v>144.018</v>
      </c>
      <c r="G8" s="1">
        <v>576.07000000000005</v>
      </c>
      <c r="H8" s="1">
        <v>187.9</v>
      </c>
      <c r="I8" s="1">
        <v>751.6</v>
      </c>
      <c r="J8" s="1">
        <v>175.52999999999997</v>
      </c>
      <c r="K8" s="5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M8" s="26"/>
      <c r="AN8" s="26"/>
      <c r="AO8" s="26"/>
      <c r="AP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6">
        <v>45204</v>
      </c>
      <c r="BN8" s="26" t="s">
        <v>221</v>
      </c>
      <c r="BO8" s="26" t="s">
        <v>221</v>
      </c>
      <c r="BP8" s="26" t="s">
        <v>215</v>
      </c>
      <c r="BQ8">
        <v>126.68</v>
      </c>
      <c r="BR8">
        <v>219.58</v>
      </c>
      <c r="BS8">
        <v>187.9</v>
      </c>
      <c r="BT8">
        <v>295.27999999999997</v>
      </c>
      <c r="BU8">
        <v>6.31</v>
      </c>
      <c r="BV8">
        <v>35.43</v>
      </c>
      <c r="BW8">
        <v>8.34</v>
      </c>
      <c r="BX8" s="26">
        <v>0</v>
      </c>
      <c r="BY8" s="26">
        <v>74.849999999999994</v>
      </c>
      <c r="BZ8">
        <v>9.5500000000000007</v>
      </c>
      <c r="CA8">
        <v>73.33</v>
      </c>
      <c r="CB8">
        <v>0</v>
      </c>
    </row>
    <row r="9" spans="1:80" x14ac:dyDescent="0.25">
      <c r="A9" s="26">
        <v>774</v>
      </c>
      <c r="B9" s="26" t="s">
        <v>145</v>
      </c>
      <c r="C9" s="26" t="s">
        <v>146</v>
      </c>
      <c r="D9" s="26" t="s">
        <v>21</v>
      </c>
      <c r="E9" s="1">
        <v>8</v>
      </c>
      <c r="F9" s="5">
        <v>144.018</v>
      </c>
      <c r="G9" s="1">
        <v>1152.1400000000001</v>
      </c>
      <c r="H9" s="1">
        <v>219.58</v>
      </c>
      <c r="I9" s="1">
        <v>1756.64</v>
      </c>
      <c r="J9" s="1">
        <v>604.5</v>
      </c>
      <c r="K9" s="5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M9" s="26"/>
      <c r="AN9" s="26"/>
      <c r="AO9" s="26"/>
      <c r="AP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6">
        <v>45204</v>
      </c>
      <c r="BN9" s="26" t="s">
        <v>221</v>
      </c>
      <c r="BO9" s="26" t="s">
        <v>221</v>
      </c>
      <c r="BP9" s="26" t="s">
        <v>215</v>
      </c>
      <c r="BQ9">
        <v>126.68</v>
      </c>
      <c r="BR9">
        <v>219.58</v>
      </c>
      <c r="BS9">
        <v>187.9</v>
      </c>
      <c r="BT9">
        <v>295.27999999999997</v>
      </c>
      <c r="BU9">
        <v>6.31</v>
      </c>
      <c r="BV9">
        <v>35.43</v>
      </c>
      <c r="BW9">
        <v>8.34</v>
      </c>
      <c r="BX9" s="26">
        <v>0</v>
      </c>
      <c r="BY9" s="26">
        <v>74.849999999999994</v>
      </c>
      <c r="BZ9">
        <v>9.5500000000000007</v>
      </c>
      <c r="CA9">
        <v>73.33</v>
      </c>
      <c r="CB9">
        <v>0</v>
      </c>
    </row>
    <row r="10" spans="1:80" x14ac:dyDescent="0.25">
      <c r="A10" s="26">
        <v>774</v>
      </c>
      <c r="B10" s="26" t="s">
        <v>145</v>
      </c>
      <c r="C10" s="26" t="s">
        <v>146</v>
      </c>
      <c r="D10" s="26" t="s">
        <v>593</v>
      </c>
      <c r="E10" s="1">
        <v>4</v>
      </c>
      <c r="F10" s="5">
        <v>80.010000000000005</v>
      </c>
      <c r="G10" s="1">
        <v>320.04000000000002</v>
      </c>
      <c r="H10" s="1">
        <v>126.68</v>
      </c>
      <c r="I10" s="1">
        <v>506.72</v>
      </c>
      <c r="J10" s="1">
        <v>186.68</v>
      </c>
      <c r="K10" s="5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M10" s="26"/>
      <c r="AN10" s="26"/>
      <c r="AO10" s="26"/>
      <c r="AP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6">
        <v>45204</v>
      </c>
      <c r="BN10" s="26" t="s">
        <v>221</v>
      </c>
      <c r="BO10" s="26" t="s">
        <v>221</v>
      </c>
      <c r="BP10" s="26" t="s">
        <v>215</v>
      </c>
      <c r="BQ10">
        <v>126.68</v>
      </c>
      <c r="BR10">
        <v>219.58</v>
      </c>
      <c r="BS10">
        <v>187.9</v>
      </c>
      <c r="BT10">
        <v>295.27999999999997</v>
      </c>
      <c r="BU10">
        <v>6.31</v>
      </c>
      <c r="BV10">
        <v>35.43</v>
      </c>
      <c r="BW10">
        <v>8.34</v>
      </c>
      <c r="BX10" s="26">
        <v>0</v>
      </c>
      <c r="BY10" s="26">
        <v>74.849999999999994</v>
      </c>
      <c r="BZ10">
        <v>9.5500000000000007</v>
      </c>
      <c r="CA10">
        <v>73.33</v>
      </c>
      <c r="CB10">
        <v>0</v>
      </c>
    </row>
    <row r="11" spans="1:80" x14ac:dyDescent="0.25">
      <c r="A11" s="26">
        <v>774</v>
      </c>
      <c r="B11" s="26" t="s">
        <v>145</v>
      </c>
      <c r="C11" s="26" t="s">
        <v>146</v>
      </c>
      <c r="D11" s="26" t="s">
        <v>19</v>
      </c>
      <c r="E11" s="1">
        <v>4</v>
      </c>
      <c r="F11" s="5">
        <v>144.018</v>
      </c>
      <c r="G11" s="1">
        <v>576.07000000000005</v>
      </c>
      <c r="H11" s="1">
        <v>187.9</v>
      </c>
      <c r="I11" s="1">
        <v>751.6</v>
      </c>
      <c r="J11" s="1">
        <v>175.52999999999997</v>
      </c>
      <c r="K11" s="5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M11" s="26"/>
      <c r="AN11" s="26"/>
      <c r="AO11" s="26"/>
      <c r="AP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6">
        <v>45205</v>
      </c>
      <c r="BN11" s="26" t="s">
        <v>221</v>
      </c>
      <c r="BO11" s="26" t="s">
        <v>221</v>
      </c>
      <c r="BP11" s="26" t="s">
        <v>215</v>
      </c>
      <c r="BQ11">
        <v>126.68</v>
      </c>
      <c r="BR11">
        <v>219.58</v>
      </c>
      <c r="BS11">
        <v>187.9</v>
      </c>
      <c r="BT11">
        <v>295.27999999999997</v>
      </c>
      <c r="BU11">
        <v>6.31</v>
      </c>
      <c r="BV11">
        <v>35.43</v>
      </c>
      <c r="BW11">
        <v>8.34</v>
      </c>
      <c r="BX11" s="26">
        <v>0</v>
      </c>
      <c r="BY11" s="26">
        <v>74.849999999999994</v>
      </c>
      <c r="BZ11">
        <v>9.5500000000000007</v>
      </c>
      <c r="CA11">
        <v>73.33</v>
      </c>
      <c r="CB11">
        <v>0</v>
      </c>
    </row>
    <row r="12" spans="1:80" x14ac:dyDescent="0.25">
      <c r="A12" s="26">
        <v>774</v>
      </c>
      <c r="B12" s="26" t="s">
        <v>145</v>
      </c>
      <c r="C12" s="26" t="s">
        <v>146</v>
      </c>
      <c r="D12" s="26" t="s">
        <v>21</v>
      </c>
      <c r="E12" s="1">
        <v>8</v>
      </c>
      <c r="F12" s="5">
        <v>144.018</v>
      </c>
      <c r="G12" s="1">
        <v>1152.1400000000001</v>
      </c>
      <c r="H12" s="1">
        <v>219.58</v>
      </c>
      <c r="I12" s="1">
        <v>1756.64</v>
      </c>
      <c r="J12" s="1">
        <v>604.5</v>
      </c>
      <c r="K12" s="5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M12" s="26"/>
      <c r="AN12" s="26"/>
      <c r="AO12" s="26"/>
      <c r="AP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6">
        <v>45205</v>
      </c>
      <c r="BN12" s="26" t="s">
        <v>221</v>
      </c>
      <c r="BO12" s="26" t="s">
        <v>221</v>
      </c>
      <c r="BP12" s="26" t="s">
        <v>215</v>
      </c>
      <c r="BQ12">
        <v>126.68</v>
      </c>
      <c r="BR12">
        <v>219.58</v>
      </c>
      <c r="BS12">
        <v>187.9</v>
      </c>
      <c r="BT12">
        <v>295.27999999999997</v>
      </c>
      <c r="BU12">
        <v>6.31</v>
      </c>
      <c r="BV12">
        <v>35.43</v>
      </c>
      <c r="BW12">
        <v>8.34</v>
      </c>
      <c r="BX12" s="26">
        <v>0</v>
      </c>
      <c r="BY12" s="26">
        <v>74.849999999999994</v>
      </c>
      <c r="BZ12">
        <v>9.5500000000000007</v>
      </c>
      <c r="CA12">
        <v>73.33</v>
      </c>
      <c r="CB12">
        <v>0</v>
      </c>
    </row>
    <row r="13" spans="1:80" x14ac:dyDescent="0.25">
      <c r="A13" s="26">
        <v>774</v>
      </c>
      <c r="B13" s="26" t="s">
        <v>145</v>
      </c>
      <c r="C13" s="26" t="s">
        <v>146</v>
      </c>
      <c r="D13" s="26" t="s">
        <v>19</v>
      </c>
      <c r="E13" s="1">
        <v>4</v>
      </c>
      <c r="F13" s="5">
        <v>144.018</v>
      </c>
      <c r="G13" s="1">
        <v>576.07000000000005</v>
      </c>
      <c r="H13" s="1">
        <v>187.9</v>
      </c>
      <c r="I13" s="1">
        <v>751.6</v>
      </c>
      <c r="J13" s="1">
        <v>175.52999999999997</v>
      </c>
      <c r="K13" s="5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M13" s="26"/>
      <c r="AN13" s="26"/>
      <c r="AO13" s="26"/>
      <c r="AP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6">
        <v>45206</v>
      </c>
      <c r="BN13" s="26" t="s">
        <v>221</v>
      </c>
      <c r="BO13" s="26" t="s">
        <v>221</v>
      </c>
      <c r="BP13" s="26" t="s">
        <v>215</v>
      </c>
      <c r="BQ13">
        <v>126.68</v>
      </c>
      <c r="BR13">
        <v>219.58</v>
      </c>
      <c r="BS13">
        <v>187.9</v>
      </c>
      <c r="BT13">
        <v>295.27999999999997</v>
      </c>
      <c r="BU13">
        <v>6.31</v>
      </c>
      <c r="BV13">
        <v>35.43</v>
      </c>
      <c r="BW13">
        <v>8.34</v>
      </c>
      <c r="BX13" s="26">
        <v>0</v>
      </c>
      <c r="BY13" s="26">
        <v>74.849999999999994</v>
      </c>
      <c r="BZ13">
        <v>9.5500000000000007</v>
      </c>
      <c r="CA13">
        <v>73.33</v>
      </c>
      <c r="CB13">
        <v>0</v>
      </c>
    </row>
    <row r="14" spans="1:80" x14ac:dyDescent="0.25">
      <c r="A14" s="26">
        <v>774</v>
      </c>
      <c r="B14" s="26" t="s">
        <v>145</v>
      </c>
      <c r="C14" s="26" t="s">
        <v>146</v>
      </c>
      <c r="D14" s="26" t="s">
        <v>21</v>
      </c>
      <c r="E14" s="1">
        <v>8</v>
      </c>
      <c r="F14" s="5">
        <v>144.018</v>
      </c>
      <c r="G14" s="1">
        <v>1152.1400000000001</v>
      </c>
      <c r="H14" s="1">
        <v>219.58</v>
      </c>
      <c r="I14" s="1">
        <v>1756.64</v>
      </c>
      <c r="J14" s="1">
        <v>604.5</v>
      </c>
      <c r="K14" s="5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M14" s="26"/>
      <c r="AN14" s="26"/>
      <c r="AO14" s="26"/>
      <c r="AP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6">
        <v>45206</v>
      </c>
      <c r="BN14" s="26" t="s">
        <v>221</v>
      </c>
      <c r="BO14" s="26" t="s">
        <v>221</v>
      </c>
      <c r="BP14" s="26" t="s">
        <v>215</v>
      </c>
      <c r="BQ14">
        <v>126.68</v>
      </c>
      <c r="BR14">
        <v>219.58</v>
      </c>
      <c r="BS14">
        <v>187.9</v>
      </c>
      <c r="BT14">
        <v>295.27999999999997</v>
      </c>
      <c r="BU14">
        <v>6.31</v>
      </c>
      <c r="BV14">
        <v>35.43</v>
      </c>
      <c r="BW14">
        <v>8.34</v>
      </c>
      <c r="BX14" s="26">
        <v>0</v>
      </c>
      <c r="BY14" s="26">
        <v>74.849999999999994</v>
      </c>
      <c r="BZ14">
        <v>9.5500000000000007</v>
      </c>
      <c r="CA14">
        <v>73.33</v>
      </c>
      <c r="CB14">
        <v>0</v>
      </c>
    </row>
    <row r="15" spans="1:80" x14ac:dyDescent="0.25">
      <c r="A15" s="26">
        <v>774</v>
      </c>
      <c r="B15" s="26" t="s">
        <v>145</v>
      </c>
      <c r="C15" s="26" t="s">
        <v>146</v>
      </c>
      <c r="D15" s="26" t="s">
        <v>19</v>
      </c>
      <c r="E15" s="1">
        <v>12</v>
      </c>
      <c r="F15" s="5">
        <v>144.018</v>
      </c>
      <c r="G15" s="1">
        <v>1728.22</v>
      </c>
      <c r="H15" s="1">
        <v>187.9</v>
      </c>
      <c r="I15" s="1">
        <v>2254.8000000000002</v>
      </c>
      <c r="J15" s="1">
        <v>526.58000000000015</v>
      </c>
      <c r="K15" s="5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M15" s="26"/>
      <c r="AN15" s="26"/>
      <c r="AO15" s="26"/>
      <c r="AP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6">
        <v>45207</v>
      </c>
      <c r="BN15" s="26" t="s">
        <v>221</v>
      </c>
      <c r="BO15" s="26" t="s">
        <v>221</v>
      </c>
      <c r="BP15" s="26" t="s">
        <v>215</v>
      </c>
      <c r="BQ15">
        <v>126.68</v>
      </c>
      <c r="BR15">
        <v>219.58</v>
      </c>
      <c r="BS15">
        <v>187.9</v>
      </c>
      <c r="BT15">
        <v>295.27999999999997</v>
      </c>
      <c r="BU15">
        <v>6.31</v>
      </c>
      <c r="BV15">
        <v>35.43</v>
      </c>
      <c r="BW15">
        <v>8.34</v>
      </c>
      <c r="BX15" s="26">
        <v>0</v>
      </c>
      <c r="BY15" s="26">
        <v>74.849999999999994</v>
      </c>
      <c r="BZ15">
        <v>9.5500000000000007</v>
      </c>
      <c r="CA15">
        <v>73.33</v>
      </c>
      <c r="CB15">
        <v>0</v>
      </c>
    </row>
    <row r="16" spans="1:80" x14ac:dyDescent="0.25">
      <c r="A16" s="26">
        <v>774</v>
      </c>
      <c r="B16" s="26" t="s">
        <v>251</v>
      </c>
      <c r="C16" s="26" t="s">
        <v>146</v>
      </c>
      <c r="D16" s="26" t="s">
        <v>22</v>
      </c>
      <c r="E16" s="1">
        <v>72</v>
      </c>
      <c r="F16" s="5">
        <v>4.5501388888888892</v>
      </c>
      <c r="G16" s="1">
        <v>327.61</v>
      </c>
      <c r="H16" s="1">
        <v>6.31</v>
      </c>
      <c r="I16" s="1">
        <v>454.32</v>
      </c>
      <c r="J16" s="1">
        <v>126.70999999999998</v>
      </c>
      <c r="K16" s="5" t="s">
        <v>60</v>
      </c>
      <c r="L16" s="26" t="s">
        <v>60</v>
      </c>
      <c r="M16" s="26" t="s">
        <v>60</v>
      </c>
      <c r="N16" s="26" t="s">
        <v>60</v>
      </c>
      <c r="O16" s="26" t="s">
        <v>60</v>
      </c>
      <c r="P16" s="26" t="s">
        <v>60</v>
      </c>
      <c r="Q16" s="26" t="s">
        <v>60</v>
      </c>
      <c r="R16" s="26" t="s">
        <v>60</v>
      </c>
      <c r="S16" s="26" t="s">
        <v>60</v>
      </c>
      <c r="T16" s="26" t="s">
        <v>60</v>
      </c>
      <c r="U16" s="26" t="s">
        <v>424</v>
      </c>
      <c r="V16" s="26" t="s">
        <v>425</v>
      </c>
      <c r="W16" s="26" t="s">
        <v>60</v>
      </c>
      <c r="X16" s="26" t="s">
        <v>60</v>
      </c>
      <c r="Y16" s="26" t="s">
        <v>55</v>
      </c>
      <c r="Z16" s="26" t="s">
        <v>56</v>
      </c>
      <c r="AA16" s="26" t="s">
        <v>135</v>
      </c>
      <c r="AB16" s="26" t="s">
        <v>294</v>
      </c>
      <c r="AC16" s="26" t="s">
        <v>234</v>
      </c>
      <c r="AD16" s="26" t="s">
        <v>426</v>
      </c>
      <c r="AE16" s="26" t="s">
        <v>370</v>
      </c>
      <c r="AF16" s="26" t="s">
        <v>427</v>
      </c>
      <c r="AG16" s="26" t="s">
        <v>60</v>
      </c>
      <c r="AH16" s="26" t="s">
        <v>60</v>
      </c>
      <c r="AI16" t="s">
        <v>60</v>
      </c>
      <c r="AJ16" t="s">
        <v>60</v>
      </c>
      <c r="AK16" t="s">
        <v>60</v>
      </c>
      <c r="AL16" t="s">
        <v>60</v>
      </c>
      <c r="AM16" s="26" t="s">
        <v>57</v>
      </c>
      <c r="AN16" s="26" t="s">
        <v>58</v>
      </c>
      <c r="AO16" s="26"/>
      <c r="AP16" s="26"/>
      <c r="AS16" s="26"/>
      <c r="AT16" s="26"/>
      <c r="AU16" s="26"/>
      <c r="AV16" s="26" t="s">
        <v>59</v>
      </c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6">
        <v>45207</v>
      </c>
      <c r="BN16" s="26" t="s">
        <v>221</v>
      </c>
      <c r="BO16" s="26" t="s">
        <v>221</v>
      </c>
      <c r="BP16" s="26" t="s">
        <v>215</v>
      </c>
      <c r="BQ16">
        <v>126.68</v>
      </c>
      <c r="BR16">
        <v>219.58</v>
      </c>
      <c r="BS16">
        <v>187.9</v>
      </c>
      <c r="BT16">
        <v>295.27999999999997</v>
      </c>
      <c r="BU16">
        <v>6.31</v>
      </c>
      <c r="BV16">
        <v>35.43</v>
      </c>
      <c r="BW16">
        <v>8.34</v>
      </c>
      <c r="BX16" s="26">
        <v>0</v>
      </c>
      <c r="BY16" s="26">
        <v>74.849999999999994</v>
      </c>
      <c r="BZ16">
        <v>9.5500000000000007</v>
      </c>
      <c r="CA16">
        <v>73.33</v>
      </c>
      <c r="CB16">
        <v>0</v>
      </c>
    </row>
    <row r="17" spans="1:80" x14ac:dyDescent="0.25">
      <c r="A17" s="26">
        <v>774</v>
      </c>
      <c r="B17" s="26" t="s">
        <v>251</v>
      </c>
      <c r="C17" s="26" t="s">
        <v>146</v>
      </c>
      <c r="D17" s="26" t="s">
        <v>13</v>
      </c>
      <c r="E17" s="1">
        <v>6</v>
      </c>
      <c r="F17" s="5">
        <v>30.72</v>
      </c>
      <c r="G17" s="1">
        <v>184.32</v>
      </c>
      <c r="H17" s="1">
        <v>35.43</v>
      </c>
      <c r="I17" s="1">
        <v>212.57999999999998</v>
      </c>
      <c r="J17" s="1">
        <v>28.259999999999991</v>
      </c>
      <c r="K17" s="5" t="s">
        <v>60</v>
      </c>
      <c r="L17" s="26" t="s">
        <v>60</v>
      </c>
      <c r="M17" s="26" t="s">
        <v>60</v>
      </c>
      <c r="N17" s="26" t="s">
        <v>60</v>
      </c>
      <c r="O17" s="26" t="s">
        <v>60</v>
      </c>
      <c r="P17" s="26" t="s">
        <v>60</v>
      </c>
      <c r="Q17" s="26" t="s">
        <v>60</v>
      </c>
      <c r="R17" s="26" t="s">
        <v>60</v>
      </c>
      <c r="S17" s="26" t="s">
        <v>60</v>
      </c>
      <c r="T17" s="26" t="s">
        <v>60</v>
      </c>
      <c r="U17" s="26" t="s">
        <v>424</v>
      </c>
      <c r="V17" s="26" t="s">
        <v>425</v>
      </c>
      <c r="W17" s="26" t="s">
        <v>60</v>
      </c>
      <c r="X17" s="26" t="s">
        <v>60</v>
      </c>
      <c r="Y17" s="26" t="s">
        <v>55</v>
      </c>
      <c r="Z17" s="26" t="s">
        <v>56</v>
      </c>
      <c r="AA17" s="26" t="s">
        <v>135</v>
      </c>
      <c r="AB17" s="26" t="s">
        <v>294</v>
      </c>
      <c r="AC17" s="26" t="s">
        <v>234</v>
      </c>
      <c r="AD17" s="26" t="s">
        <v>426</v>
      </c>
      <c r="AE17" s="26" t="s">
        <v>370</v>
      </c>
      <c r="AF17" s="26" t="s">
        <v>427</v>
      </c>
      <c r="AG17" s="26" t="s">
        <v>60</v>
      </c>
      <c r="AH17" s="26" t="s">
        <v>60</v>
      </c>
      <c r="AI17">
        <v>0</v>
      </c>
      <c r="AJ17">
        <v>0</v>
      </c>
      <c r="AK17" t="s">
        <v>60</v>
      </c>
      <c r="AL17" t="s">
        <v>60</v>
      </c>
      <c r="AM17" s="26" t="s">
        <v>57</v>
      </c>
      <c r="AN17" s="26" t="s">
        <v>58</v>
      </c>
      <c r="AO17" s="26" t="s">
        <v>167</v>
      </c>
      <c r="AP17" s="26" t="s">
        <v>349</v>
      </c>
      <c r="AQ17">
        <v>6</v>
      </c>
      <c r="AR17">
        <v>184.32</v>
      </c>
      <c r="AS17" s="26" t="s">
        <v>121</v>
      </c>
      <c r="AT17" s="26" t="s">
        <v>60</v>
      </c>
      <c r="AU17" s="26" t="s">
        <v>60</v>
      </c>
      <c r="AV17" s="26" t="s">
        <v>59</v>
      </c>
      <c r="AW17" s="26" t="s">
        <v>466</v>
      </c>
      <c r="AX17" s="26" t="s">
        <v>467</v>
      </c>
      <c r="AY17" s="26" t="s">
        <v>469</v>
      </c>
      <c r="AZ17" s="26" t="s">
        <v>470</v>
      </c>
      <c r="BA17" s="26" t="s">
        <v>468</v>
      </c>
      <c r="BB17" s="26" t="s">
        <v>205</v>
      </c>
      <c r="BC17" s="26"/>
      <c r="BD17" s="26"/>
      <c r="BE17" s="26"/>
      <c r="BF17" s="26"/>
      <c r="BG17" s="26"/>
      <c r="BH17" s="26"/>
      <c r="BI17" s="26"/>
      <c r="BJ17" s="26"/>
      <c r="BK17" s="26"/>
      <c r="BL17" s="26" t="s">
        <v>395</v>
      </c>
      <c r="BM17" s="6">
        <v>45207</v>
      </c>
      <c r="BN17" s="26" t="s">
        <v>221</v>
      </c>
      <c r="BO17" s="26" t="s">
        <v>221</v>
      </c>
      <c r="BP17" s="26" t="s">
        <v>215</v>
      </c>
      <c r="BQ17">
        <v>126.68</v>
      </c>
      <c r="BR17">
        <v>219.58</v>
      </c>
      <c r="BS17">
        <v>187.9</v>
      </c>
      <c r="BT17">
        <v>295.27999999999997</v>
      </c>
      <c r="BU17">
        <v>6.31</v>
      </c>
      <c r="BV17">
        <v>35.43</v>
      </c>
      <c r="BW17">
        <v>8.34</v>
      </c>
      <c r="BX17" s="26">
        <v>0</v>
      </c>
      <c r="BY17" s="26">
        <v>74.849999999999994</v>
      </c>
      <c r="BZ17">
        <v>9.5500000000000007</v>
      </c>
      <c r="CA17">
        <v>73.33</v>
      </c>
      <c r="CB17">
        <v>0</v>
      </c>
    </row>
    <row r="18" spans="1:80" x14ac:dyDescent="0.25">
      <c r="A18" s="26">
        <v>774</v>
      </c>
      <c r="B18" s="26" t="s">
        <v>251</v>
      </c>
      <c r="C18" s="26" t="s">
        <v>146</v>
      </c>
      <c r="D18" s="26" t="s">
        <v>25</v>
      </c>
      <c r="E18" s="1">
        <v>6</v>
      </c>
      <c r="F18" s="5">
        <v>52.9</v>
      </c>
      <c r="G18" s="1">
        <v>317.39999999999998</v>
      </c>
      <c r="H18" s="1">
        <v>73.33</v>
      </c>
      <c r="I18" s="1">
        <v>439.98</v>
      </c>
      <c r="J18" s="1">
        <v>122.58000000000004</v>
      </c>
      <c r="K18" s="5" t="s">
        <v>60</v>
      </c>
      <c r="L18" s="26" t="s">
        <v>60</v>
      </c>
      <c r="M18" s="26" t="s">
        <v>60</v>
      </c>
      <c r="N18" s="26" t="s">
        <v>60</v>
      </c>
      <c r="O18" s="26" t="s">
        <v>60</v>
      </c>
      <c r="P18" s="26" t="s">
        <v>60</v>
      </c>
      <c r="Q18" s="26" t="s">
        <v>60</v>
      </c>
      <c r="R18" s="26" t="s">
        <v>60</v>
      </c>
      <c r="S18" s="26" t="s">
        <v>60</v>
      </c>
      <c r="T18" s="26" t="s">
        <v>60</v>
      </c>
      <c r="U18" s="26" t="s">
        <v>424</v>
      </c>
      <c r="V18" s="26" t="s">
        <v>425</v>
      </c>
      <c r="W18" s="26" t="s">
        <v>60</v>
      </c>
      <c r="X18" s="26" t="s">
        <v>60</v>
      </c>
      <c r="Y18" s="26" t="s">
        <v>55</v>
      </c>
      <c r="Z18" s="26" t="s">
        <v>56</v>
      </c>
      <c r="AA18" s="26" t="s">
        <v>135</v>
      </c>
      <c r="AB18" s="26" t="s">
        <v>294</v>
      </c>
      <c r="AC18" s="26" t="s">
        <v>234</v>
      </c>
      <c r="AD18" s="26" t="s">
        <v>426</v>
      </c>
      <c r="AE18" s="26" t="s">
        <v>370</v>
      </c>
      <c r="AF18" s="26" t="s">
        <v>427</v>
      </c>
      <c r="AG18" s="26" t="s">
        <v>60</v>
      </c>
      <c r="AH18" s="26" t="s">
        <v>60</v>
      </c>
      <c r="AI18" t="s">
        <v>60</v>
      </c>
      <c r="AJ18" t="s">
        <v>60</v>
      </c>
      <c r="AK18">
        <v>0</v>
      </c>
      <c r="AL18">
        <v>0</v>
      </c>
      <c r="AM18" s="26" t="s">
        <v>57</v>
      </c>
      <c r="AN18" s="26" t="s">
        <v>58</v>
      </c>
      <c r="AO18" s="26">
        <v>6</v>
      </c>
      <c r="AP18" s="26">
        <v>317.39999999999998</v>
      </c>
      <c r="AQ18" t="s">
        <v>167</v>
      </c>
      <c r="AR18" t="s">
        <v>303</v>
      </c>
      <c r="AS18" s="26" t="s">
        <v>121</v>
      </c>
      <c r="AT18" s="26" t="s">
        <v>60</v>
      </c>
      <c r="AU18" s="26" t="s">
        <v>60</v>
      </c>
      <c r="AV18" s="26" t="s">
        <v>59</v>
      </c>
      <c r="AW18" s="26" t="s">
        <v>466</v>
      </c>
      <c r="AX18" s="26" t="s">
        <v>467</v>
      </c>
      <c r="AY18" s="26" t="s">
        <v>469</v>
      </c>
      <c r="AZ18" s="26" t="s">
        <v>470</v>
      </c>
      <c r="BA18" s="26" t="s">
        <v>468</v>
      </c>
      <c r="BB18" s="26" t="s">
        <v>205</v>
      </c>
      <c r="BC18" s="26" t="s">
        <v>60</v>
      </c>
      <c r="BD18" s="26" t="s">
        <v>60</v>
      </c>
      <c r="BE18" s="26" t="s">
        <v>304</v>
      </c>
      <c r="BF18" s="26" t="s">
        <v>239</v>
      </c>
      <c r="BG18" s="26" t="s">
        <v>559</v>
      </c>
      <c r="BH18" s="26" t="s">
        <v>60</v>
      </c>
      <c r="BI18" s="26" t="s">
        <v>60</v>
      </c>
      <c r="BJ18" s="26" t="s">
        <v>60</v>
      </c>
      <c r="BK18" s="26" t="s">
        <v>60</v>
      </c>
      <c r="BL18" s="26" t="s">
        <v>395</v>
      </c>
      <c r="BM18" s="6">
        <v>45207</v>
      </c>
      <c r="BN18" s="26" t="s">
        <v>221</v>
      </c>
      <c r="BO18" s="26" t="s">
        <v>221</v>
      </c>
      <c r="BP18" s="26" t="s">
        <v>215</v>
      </c>
      <c r="BQ18">
        <v>126.68</v>
      </c>
      <c r="BR18">
        <v>219.58</v>
      </c>
      <c r="BS18">
        <v>187.9</v>
      </c>
      <c r="BT18">
        <v>295.27999999999997</v>
      </c>
      <c r="BU18">
        <v>6.31</v>
      </c>
      <c r="BV18">
        <v>35.43</v>
      </c>
      <c r="BW18">
        <v>8.34</v>
      </c>
      <c r="BX18" s="26">
        <v>0</v>
      </c>
      <c r="BY18" s="26">
        <v>74.849999999999994</v>
      </c>
      <c r="BZ18">
        <v>9.5500000000000007</v>
      </c>
      <c r="CA18">
        <v>73.33</v>
      </c>
      <c r="CB18">
        <v>0</v>
      </c>
    </row>
    <row r="19" spans="1:80" x14ac:dyDescent="0.25">
      <c r="A19" s="26">
        <v>631</v>
      </c>
      <c r="B19" s="26" t="s">
        <v>181</v>
      </c>
      <c r="C19" s="26" t="s">
        <v>182</v>
      </c>
      <c r="D19" s="26" t="s">
        <v>18</v>
      </c>
      <c r="E19" s="1">
        <v>8</v>
      </c>
      <c r="F19" s="5">
        <v>84.4</v>
      </c>
      <c r="G19" s="1">
        <v>675.2</v>
      </c>
      <c r="H19" s="1">
        <v>123.63</v>
      </c>
      <c r="I19" s="1">
        <v>989.04</v>
      </c>
      <c r="J19" s="1">
        <v>313.83999999999992</v>
      </c>
      <c r="K19" s="5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M19" s="26"/>
      <c r="AN19" s="26"/>
      <c r="AO19" s="26"/>
      <c r="AP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6">
        <v>45202</v>
      </c>
      <c r="BN19" s="26" t="s">
        <v>45</v>
      </c>
      <c r="BO19" s="26" t="s">
        <v>268</v>
      </c>
      <c r="BP19" s="26" t="s">
        <v>28</v>
      </c>
      <c r="BQ19">
        <v>123.63</v>
      </c>
      <c r="BR19">
        <v>237.48</v>
      </c>
      <c r="BS19">
        <v>206.93</v>
      </c>
      <c r="BT19">
        <v>299.92</v>
      </c>
      <c r="BU19">
        <v>9.81</v>
      </c>
      <c r="BV19">
        <v>38.76</v>
      </c>
      <c r="BW19">
        <v>7.67</v>
      </c>
      <c r="BX19" s="26">
        <v>0</v>
      </c>
      <c r="BY19" s="26">
        <v>0</v>
      </c>
      <c r="BZ19">
        <v>8.7899999999999991</v>
      </c>
      <c r="CA19">
        <v>68.58</v>
      </c>
      <c r="CB19">
        <v>2.79</v>
      </c>
    </row>
    <row r="20" spans="1:80" x14ac:dyDescent="0.25">
      <c r="A20" s="26">
        <v>631</v>
      </c>
      <c r="B20" s="26" t="s">
        <v>181</v>
      </c>
      <c r="C20" s="26" t="s">
        <v>182</v>
      </c>
      <c r="D20" s="26" t="s">
        <v>19</v>
      </c>
      <c r="E20" s="1">
        <v>3.5</v>
      </c>
      <c r="F20" s="5">
        <v>168.8</v>
      </c>
      <c r="G20" s="1">
        <v>590.79999999999995</v>
      </c>
      <c r="H20" s="1">
        <v>206.93</v>
      </c>
      <c r="I20" s="1">
        <v>724.255</v>
      </c>
      <c r="J20" s="1">
        <v>133.45500000000004</v>
      </c>
      <c r="K20" s="5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M20" s="26"/>
      <c r="AN20" s="26"/>
      <c r="AO20" s="26"/>
      <c r="AP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6">
        <v>45202</v>
      </c>
      <c r="BN20" s="26" t="s">
        <v>45</v>
      </c>
      <c r="BO20" s="26" t="s">
        <v>268</v>
      </c>
      <c r="BP20" s="26" t="s">
        <v>28</v>
      </c>
      <c r="BQ20">
        <v>123.63</v>
      </c>
      <c r="BR20">
        <v>237.48</v>
      </c>
      <c r="BS20">
        <v>206.93</v>
      </c>
      <c r="BT20">
        <v>299.92</v>
      </c>
      <c r="BU20">
        <v>9.81</v>
      </c>
      <c r="BV20">
        <v>38.76</v>
      </c>
      <c r="BW20">
        <v>7.67</v>
      </c>
      <c r="BX20" s="26">
        <v>0</v>
      </c>
      <c r="BY20" s="26">
        <v>0</v>
      </c>
      <c r="BZ20">
        <v>8.7899999999999991</v>
      </c>
      <c r="CA20">
        <v>68.58</v>
      </c>
      <c r="CB20">
        <v>2.79</v>
      </c>
    </row>
    <row r="21" spans="1:80" x14ac:dyDescent="0.25">
      <c r="A21" s="26">
        <v>631</v>
      </c>
      <c r="B21" s="26" t="s">
        <v>181</v>
      </c>
      <c r="C21" s="26" t="s">
        <v>182</v>
      </c>
      <c r="D21" s="26" t="s">
        <v>18</v>
      </c>
      <c r="E21" s="1">
        <v>8</v>
      </c>
      <c r="F21" s="5">
        <v>84.4</v>
      </c>
      <c r="G21" s="1">
        <v>675.2</v>
      </c>
      <c r="H21" s="1">
        <v>123.63</v>
      </c>
      <c r="I21" s="1">
        <v>989.04</v>
      </c>
      <c r="J21" s="1">
        <v>313.83999999999992</v>
      </c>
      <c r="K21" s="5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M21" s="26"/>
      <c r="AN21" s="26"/>
      <c r="AO21" s="26"/>
      <c r="AP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6">
        <v>45203</v>
      </c>
      <c r="BN21" s="26" t="s">
        <v>45</v>
      </c>
      <c r="BO21" s="26" t="s">
        <v>268</v>
      </c>
      <c r="BP21" s="26" t="s">
        <v>28</v>
      </c>
      <c r="BQ21">
        <v>123.63</v>
      </c>
      <c r="BR21">
        <v>237.48</v>
      </c>
      <c r="BS21">
        <v>206.93</v>
      </c>
      <c r="BT21">
        <v>299.92</v>
      </c>
      <c r="BU21">
        <v>9.81</v>
      </c>
      <c r="BV21">
        <v>38.76</v>
      </c>
      <c r="BW21">
        <v>7.67</v>
      </c>
      <c r="BX21" s="26">
        <v>0</v>
      </c>
      <c r="BY21" s="26">
        <v>0</v>
      </c>
      <c r="BZ21">
        <v>8.7899999999999991</v>
      </c>
      <c r="CA21">
        <v>68.58</v>
      </c>
      <c r="CB21">
        <v>2.79</v>
      </c>
    </row>
    <row r="22" spans="1:80" x14ac:dyDescent="0.25">
      <c r="A22" s="26">
        <v>631</v>
      </c>
      <c r="B22" s="26" t="s">
        <v>181</v>
      </c>
      <c r="C22" s="26" t="s">
        <v>182</v>
      </c>
      <c r="D22" s="26" t="s">
        <v>19</v>
      </c>
      <c r="E22" s="1">
        <v>2.5</v>
      </c>
      <c r="F22" s="5">
        <v>168.8</v>
      </c>
      <c r="G22" s="1">
        <v>422</v>
      </c>
      <c r="H22" s="1">
        <v>206.93</v>
      </c>
      <c r="I22" s="1">
        <v>517.32500000000005</v>
      </c>
      <c r="J22" s="1">
        <v>95.325000000000045</v>
      </c>
      <c r="K22" s="5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M22" s="26"/>
      <c r="AN22" s="26"/>
      <c r="AO22" s="26"/>
      <c r="AP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6">
        <v>45203</v>
      </c>
      <c r="BN22" s="26" t="s">
        <v>45</v>
      </c>
      <c r="BO22" s="26" t="s">
        <v>268</v>
      </c>
      <c r="BP22" s="26" t="s">
        <v>28</v>
      </c>
      <c r="BQ22">
        <v>123.63</v>
      </c>
      <c r="BR22">
        <v>237.48</v>
      </c>
      <c r="BS22">
        <v>206.93</v>
      </c>
      <c r="BT22">
        <v>299.92</v>
      </c>
      <c r="BU22">
        <v>9.81</v>
      </c>
      <c r="BV22">
        <v>38.76</v>
      </c>
      <c r="BW22">
        <v>7.67</v>
      </c>
      <c r="BX22" s="26">
        <v>0</v>
      </c>
      <c r="BY22" s="26">
        <v>0</v>
      </c>
      <c r="BZ22">
        <v>8.7899999999999991</v>
      </c>
      <c r="CA22">
        <v>68.58</v>
      </c>
      <c r="CB22">
        <v>2.79</v>
      </c>
    </row>
    <row r="23" spans="1:80" x14ac:dyDescent="0.25">
      <c r="A23" s="26">
        <v>631</v>
      </c>
      <c r="B23" s="26" t="s">
        <v>181</v>
      </c>
      <c r="C23" s="26" t="s">
        <v>182</v>
      </c>
      <c r="D23" s="26" t="s">
        <v>18</v>
      </c>
      <c r="E23" s="1">
        <v>8</v>
      </c>
      <c r="F23" s="5">
        <v>84.4</v>
      </c>
      <c r="G23" s="1">
        <v>675.2</v>
      </c>
      <c r="H23" s="1">
        <v>123.63</v>
      </c>
      <c r="I23" s="1">
        <v>989.04</v>
      </c>
      <c r="J23" s="1">
        <v>313.83999999999992</v>
      </c>
      <c r="K23" s="5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M23" s="26"/>
      <c r="AN23" s="26"/>
      <c r="AO23" s="26"/>
      <c r="AP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6">
        <v>45204</v>
      </c>
      <c r="BN23" s="26" t="s">
        <v>45</v>
      </c>
      <c r="BO23" s="26" t="s">
        <v>268</v>
      </c>
      <c r="BP23" s="26" t="s">
        <v>28</v>
      </c>
      <c r="BQ23">
        <v>123.63</v>
      </c>
      <c r="BR23">
        <v>237.48</v>
      </c>
      <c r="BS23">
        <v>206.93</v>
      </c>
      <c r="BT23">
        <v>299.92</v>
      </c>
      <c r="BU23">
        <v>9.81</v>
      </c>
      <c r="BV23">
        <v>38.76</v>
      </c>
      <c r="BW23">
        <v>7.67</v>
      </c>
      <c r="BX23" s="26">
        <v>0</v>
      </c>
      <c r="BY23" s="26">
        <v>0</v>
      </c>
      <c r="BZ23">
        <v>8.7899999999999991</v>
      </c>
      <c r="CA23">
        <v>68.58</v>
      </c>
      <c r="CB23">
        <v>2.79</v>
      </c>
    </row>
    <row r="24" spans="1:80" x14ac:dyDescent="0.25">
      <c r="A24" s="26">
        <v>631</v>
      </c>
      <c r="B24" s="26" t="s">
        <v>181</v>
      </c>
      <c r="C24" s="26" t="s">
        <v>182</v>
      </c>
      <c r="D24" s="26" t="s">
        <v>19</v>
      </c>
      <c r="E24" s="1">
        <v>1.5</v>
      </c>
      <c r="F24" s="5">
        <v>168.8</v>
      </c>
      <c r="G24" s="1">
        <v>253.2</v>
      </c>
      <c r="H24" s="1">
        <v>206.93</v>
      </c>
      <c r="I24" s="1">
        <v>310.39499999999998</v>
      </c>
      <c r="J24" s="1">
        <v>57.194999999999993</v>
      </c>
      <c r="K24" s="5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M24" s="26"/>
      <c r="AN24" s="26"/>
      <c r="AO24" s="26"/>
      <c r="AP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6">
        <v>45204</v>
      </c>
      <c r="BN24" s="26" t="s">
        <v>45</v>
      </c>
      <c r="BO24" s="26" t="s">
        <v>268</v>
      </c>
      <c r="BP24" s="26" t="s">
        <v>28</v>
      </c>
      <c r="BQ24">
        <v>123.63</v>
      </c>
      <c r="BR24">
        <v>237.48</v>
      </c>
      <c r="BS24">
        <v>206.93</v>
      </c>
      <c r="BT24">
        <v>299.92</v>
      </c>
      <c r="BU24">
        <v>9.81</v>
      </c>
      <c r="BV24">
        <v>38.76</v>
      </c>
      <c r="BW24">
        <v>7.67</v>
      </c>
      <c r="BX24" s="26">
        <v>0</v>
      </c>
      <c r="BY24" s="26">
        <v>0</v>
      </c>
      <c r="BZ24">
        <v>8.7899999999999991</v>
      </c>
      <c r="CA24">
        <v>68.58</v>
      </c>
      <c r="CB24">
        <v>2.79</v>
      </c>
    </row>
    <row r="25" spans="1:80" x14ac:dyDescent="0.25">
      <c r="A25" s="26">
        <v>631</v>
      </c>
      <c r="B25" s="26" t="s">
        <v>181</v>
      </c>
      <c r="C25" s="26" t="s">
        <v>182</v>
      </c>
      <c r="D25" s="26" t="s">
        <v>18</v>
      </c>
      <c r="E25" s="1">
        <v>8</v>
      </c>
      <c r="F25" s="5">
        <v>84.4</v>
      </c>
      <c r="G25" s="1">
        <v>675.2</v>
      </c>
      <c r="H25" s="1">
        <v>123.63</v>
      </c>
      <c r="I25" s="1">
        <v>989.04</v>
      </c>
      <c r="J25" s="1">
        <v>313.83999999999992</v>
      </c>
      <c r="K25" s="5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M25" s="26"/>
      <c r="AN25" s="26"/>
      <c r="AO25" s="26"/>
      <c r="AP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6">
        <v>45205</v>
      </c>
      <c r="BN25" s="26" t="s">
        <v>45</v>
      </c>
      <c r="BO25" s="26" t="s">
        <v>268</v>
      </c>
      <c r="BP25" s="26" t="s">
        <v>28</v>
      </c>
      <c r="BQ25">
        <v>123.63</v>
      </c>
      <c r="BR25">
        <v>237.48</v>
      </c>
      <c r="BS25">
        <v>206.93</v>
      </c>
      <c r="BT25">
        <v>299.92</v>
      </c>
      <c r="BU25">
        <v>9.81</v>
      </c>
      <c r="BV25">
        <v>38.76</v>
      </c>
      <c r="BW25">
        <v>7.67</v>
      </c>
      <c r="BX25" s="26">
        <v>0</v>
      </c>
      <c r="BY25" s="26">
        <v>0</v>
      </c>
      <c r="BZ25">
        <v>8.7899999999999991</v>
      </c>
      <c r="CA25">
        <v>68.58</v>
      </c>
      <c r="CB25">
        <v>2.79</v>
      </c>
    </row>
    <row r="26" spans="1:80" x14ac:dyDescent="0.25">
      <c r="A26" s="26">
        <v>631</v>
      </c>
      <c r="B26" s="26" t="s">
        <v>181</v>
      </c>
      <c r="C26" s="26" t="s">
        <v>182</v>
      </c>
      <c r="D26" s="26" t="s">
        <v>19</v>
      </c>
      <c r="E26" s="1">
        <v>1.5</v>
      </c>
      <c r="F26" s="5">
        <v>168.8</v>
      </c>
      <c r="G26" s="1">
        <v>253.2</v>
      </c>
      <c r="H26" s="1">
        <v>206.93</v>
      </c>
      <c r="I26" s="1">
        <v>310.39499999999998</v>
      </c>
      <c r="J26" s="1">
        <v>57.194999999999993</v>
      </c>
      <c r="K26" s="5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M26" s="26"/>
      <c r="AN26" s="26"/>
      <c r="AO26" s="26"/>
      <c r="AP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6">
        <v>45205</v>
      </c>
      <c r="BN26" s="26" t="s">
        <v>45</v>
      </c>
      <c r="BO26" s="26" t="s">
        <v>268</v>
      </c>
      <c r="BP26" s="26" t="s">
        <v>28</v>
      </c>
      <c r="BQ26">
        <v>123.63</v>
      </c>
      <c r="BR26">
        <v>237.48</v>
      </c>
      <c r="BS26">
        <v>206.93</v>
      </c>
      <c r="BT26">
        <v>299.92</v>
      </c>
      <c r="BU26">
        <v>9.81</v>
      </c>
      <c r="BV26">
        <v>38.76</v>
      </c>
      <c r="BW26">
        <v>7.67</v>
      </c>
      <c r="BX26" s="26">
        <v>0</v>
      </c>
      <c r="BY26" s="26">
        <v>0</v>
      </c>
      <c r="BZ26">
        <v>8.7899999999999991</v>
      </c>
      <c r="CA26">
        <v>68.58</v>
      </c>
      <c r="CB26">
        <v>2.79</v>
      </c>
    </row>
    <row r="27" spans="1:80" x14ac:dyDescent="0.25">
      <c r="A27" s="26">
        <v>631</v>
      </c>
      <c r="B27" s="26" t="s">
        <v>266</v>
      </c>
      <c r="C27" s="26" t="s">
        <v>182</v>
      </c>
      <c r="D27" s="26" t="s">
        <v>22</v>
      </c>
      <c r="E27" s="1">
        <v>41</v>
      </c>
      <c r="F27" s="5">
        <v>7.6999999999999993</v>
      </c>
      <c r="G27" s="1">
        <v>315.7</v>
      </c>
      <c r="H27" s="1">
        <v>9.81</v>
      </c>
      <c r="I27" s="1">
        <v>402.21000000000004</v>
      </c>
      <c r="J27" s="1">
        <v>86.510000000000048</v>
      </c>
      <c r="K27" s="5" t="s">
        <v>135</v>
      </c>
      <c r="L27" s="26" t="s">
        <v>326</v>
      </c>
      <c r="M27" s="26" t="s">
        <v>428</v>
      </c>
      <c r="N27" s="26" t="s">
        <v>429</v>
      </c>
      <c r="O27" s="26" t="s">
        <v>60</v>
      </c>
      <c r="P27" s="26" t="s">
        <v>60</v>
      </c>
      <c r="Q27" s="26" t="s">
        <v>60</v>
      </c>
      <c r="R27" s="26" t="s">
        <v>60</v>
      </c>
      <c r="S27" s="26" t="s">
        <v>90</v>
      </c>
      <c r="T27" s="26" t="s">
        <v>327</v>
      </c>
      <c r="U27" s="26" t="s">
        <v>233</v>
      </c>
      <c r="V27" s="26" t="s">
        <v>328</v>
      </c>
      <c r="W27" s="26" t="s">
        <v>60</v>
      </c>
      <c r="X27" s="26" t="s">
        <v>60</v>
      </c>
      <c r="Y27" s="26" t="s">
        <v>55</v>
      </c>
      <c r="Z27" s="26" t="s">
        <v>56</v>
      </c>
      <c r="AA27" s="26" t="s">
        <v>60</v>
      </c>
      <c r="AB27" s="26" t="s">
        <v>60</v>
      </c>
      <c r="AC27" s="26" t="s">
        <v>60</v>
      </c>
      <c r="AD27" s="26" t="s">
        <v>60</v>
      </c>
      <c r="AE27" s="26" t="s">
        <v>60</v>
      </c>
      <c r="AF27" s="26" t="s">
        <v>60</v>
      </c>
      <c r="AG27" s="26" t="s">
        <v>428</v>
      </c>
      <c r="AH27" s="26" t="s">
        <v>430</v>
      </c>
      <c r="AI27" t="s">
        <v>133</v>
      </c>
      <c r="AJ27" t="s">
        <v>331</v>
      </c>
      <c r="AK27" t="s">
        <v>431</v>
      </c>
      <c r="AL27" t="s">
        <v>432</v>
      </c>
      <c r="AM27" s="26" t="s">
        <v>57</v>
      </c>
      <c r="AN27" s="26" t="s">
        <v>58</v>
      </c>
      <c r="AO27" s="26"/>
      <c r="AP27" s="26"/>
      <c r="AS27" s="26"/>
      <c r="AT27" s="26"/>
      <c r="AU27" s="26"/>
      <c r="AV27" s="26" t="s">
        <v>59</v>
      </c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6">
        <v>45207</v>
      </c>
      <c r="BN27" s="26" t="s">
        <v>45</v>
      </c>
      <c r="BO27" s="26" t="s">
        <v>268</v>
      </c>
      <c r="BP27" s="26" t="s">
        <v>28</v>
      </c>
      <c r="BQ27">
        <v>123.63</v>
      </c>
      <c r="BR27">
        <v>237.48</v>
      </c>
      <c r="BS27">
        <v>206.93</v>
      </c>
      <c r="BT27">
        <v>299.92</v>
      </c>
      <c r="BU27">
        <v>9.81</v>
      </c>
      <c r="BV27">
        <v>38.76</v>
      </c>
      <c r="BW27">
        <v>7.67</v>
      </c>
      <c r="BX27" s="26">
        <v>0</v>
      </c>
      <c r="BY27" s="26">
        <v>0</v>
      </c>
      <c r="BZ27">
        <v>8.7899999999999991</v>
      </c>
      <c r="CA27">
        <v>68.58</v>
      </c>
      <c r="CB27">
        <v>2.79</v>
      </c>
    </row>
    <row r="28" spans="1:80" x14ac:dyDescent="0.25">
      <c r="A28" s="26">
        <v>631</v>
      </c>
      <c r="B28" s="26" t="s">
        <v>266</v>
      </c>
      <c r="C28" s="26" t="s">
        <v>182</v>
      </c>
      <c r="D28" s="26" t="s">
        <v>13</v>
      </c>
      <c r="E28" s="1">
        <v>4</v>
      </c>
      <c r="F28" s="5">
        <v>36.090000000000003</v>
      </c>
      <c r="G28" s="1">
        <v>144.36000000000001</v>
      </c>
      <c r="H28" s="1">
        <v>38.76</v>
      </c>
      <c r="I28" s="1">
        <v>155.04</v>
      </c>
      <c r="J28" s="1">
        <v>10.679999999999978</v>
      </c>
      <c r="K28" s="5" t="s">
        <v>135</v>
      </c>
      <c r="L28" s="26" t="s">
        <v>326</v>
      </c>
      <c r="M28" s="26" t="s">
        <v>428</v>
      </c>
      <c r="N28" s="26" t="s">
        <v>429</v>
      </c>
      <c r="O28" s="26" t="s">
        <v>60</v>
      </c>
      <c r="P28" s="26" t="s">
        <v>60</v>
      </c>
      <c r="Q28" s="26" t="s">
        <v>60</v>
      </c>
      <c r="R28" s="26" t="s">
        <v>60</v>
      </c>
      <c r="S28" s="26" t="s">
        <v>90</v>
      </c>
      <c r="T28" s="26" t="s">
        <v>327</v>
      </c>
      <c r="U28" s="26" t="s">
        <v>233</v>
      </c>
      <c r="V28" s="26" t="s">
        <v>328</v>
      </c>
      <c r="W28" s="26" t="s">
        <v>60</v>
      </c>
      <c r="X28" s="26" t="s">
        <v>60</v>
      </c>
      <c r="Y28" s="26" t="s">
        <v>55</v>
      </c>
      <c r="Z28" s="26" t="s">
        <v>56</v>
      </c>
      <c r="AA28" s="26" t="s">
        <v>60</v>
      </c>
      <c r="AB28" s="26" t="s">
        <v>60</v>
      </c>
      <c r="AC28" s="26" t="s">
        <v>60</v>
      </c>
      <c r="AD28" s="26" t="s">
        <v>60</v>
      </c>
      <c r="AE28" s="26" t="s">
        <v>60</v>
      </c>
      <c r="AF28" s="26" t="s">
        <v>60</v>
      </c>
      <c r="AG28" s="26" t="s">
        <v>428</v>
      </c>
      <c r="AH28" s="26" t="s">
        <v>430</v>
      </c>
      <c r="AI28">
        <v>4</v>
      </c>
      <c r="AJ28">
        <v>144.36000000000001</v>
      </c>
      <c r="AK28" t="s">
        <v>431</v>
      </c>
      <c r="AL28" t="s">
        <v>432</v>
      </c>
      <c r="AM28" s="26" t="s">
        <v>57</v>
      </c>
      <c r="AN28" s="26" t="s">
        <v>58</v>
      </c>
      <c r="AO28" s="26" t="s">
        <v>60</v>
      </c>
      <c r="AP28" s="26" t="s">
        <v>60</v>
      </c>
      <c r="AQ28">
        <v>0</v>
      </c>
      <c r="AR28">
        <v>0</v>
      </c>
      <c r="AS28" s="26" t="s">
        <v>60</v>
      </c>
      <c r="AT28" s="26" t="s">
        <v>60</v>
      </c>
      <c r="AU28" s="26" t="s">
        <v>471</v>
      </c>
      <c r="AV28" s="26" t="s">
        <v>59</v>
      </c>
      <c r="AW28" s="26" t="s">
        <v>472</v>
      </c>
      <c r="AX28" s="26" t="s">
        <v>472</v>
      </c>
      <c r="AY28" s="26" t="s">
        <v>474</v>
      </c>
      <c r="AZ28" s="26" t="s">
        <v>475</v>
      </c>
      <c r="BA28" s="26" t="s">
        <v>473</v>
      </c>
      <c r="BB28" s="26" t="s">
        <v>476</v>
      </c>
      <c r="BC28" s="26"/>
      <c r="BD28" s="26"/>
      <c r="BE28" s="26"/>
      <c r="BF28" s="26"/>
      <c r="BG28" s="26"/>
      <c r="BH28" s="26"/>
      <c r="BI28" s="26"/>
      <c r="BJ28" s="26"/>
      <c r="BK28" s="26"/>
      <c r="BL28" s="26" t="s">
        <v>477</v>
      </c>
      <c r="BM28" s="6">
        <v>45207</v>
      </c>
      <c r="BN28" s="26" t="s">
        <v>45</v>
      </c>
      <c r="BO28" s="26" t="s">
        <v>268</v>
      </c>
      <c r="BP28" s="26" t="s">
        <v>28</v>
      </c>
      <c r="BQ28">
        <v>123.63</v>
      </c>
      <c r="BR28">
        <v>237.48</v>
      </c>
      <c r="BS28">
        <v>206.93</v>
      </c>
      <c r="BT28">
        <v>299.92</v>
      </c>
      <c r="BU28">
        <v>9.81</v>
      </c>
      <c r="BV28">
        <v>38.76</v>
      </c>
      <c r="BW28">
        <v>7.67</v>
      </c>
      <c r="BX28" s="26">
        <v>0</v>
      </c>
      <c r="BY28" s="26">
        <v>0</v>
      </c>
      <c r="BZ28">
        <v>8.7899999999999991</v>
      </c>
      <c r="CA28">
        <v>68.58</v>
      </c>
      <c r="CB28">
        <v>2.79</v>
      </c>
    </row>
    <row r="29" spans="1:80" x14ac:dyDescent="0.25">
      <c r="A29" s="26">
        <v>631</v>
      </c>
      <c r="B29" s="26" t="s">
        <v>266</v>
      </c>
      <c r="C29" s="26" t="s">
        <v>182</v>
      </c>
      <c r="D29" s="26" t="s">
        <v>25</v>
      </c>
      <c r="E29" s="1">
        <v>5</v>
      </c>
      <c r="F29" s="5">
        <v>55</v>
      </c>
      <c r="G29" s="1">
        <v>275</v>
      </c>
      <c r="H29" s="1">
        <v>68.58</v>
      </c>
      <c r="I29" s="1">
        <v>342.9</v>
      </c>
      <c r="J29" s="1">
        <v>67.899999999999977</v>
      </c>
      <c r="K29" s="5" t="s">
        <v>135</v>
      </c>
      <c r="L29" s="26" t="s">
        <v>326</v>
      </c>
      <c r="M29" s="26" t="s">
        <v>428</v>
      </c>
      <c r="N29" s="26" t="s">
        <v>429</v>
      </c>
      <c r="O29" s="26" t="s">
        <v>60</v>
      </c>
      <c r="P29" s="26" t="s">
        <v>60</v>
      </c>
      <c r="Q29" s="26" t="s">
        <v>60</v>
      </c>
      <c r="R29" s="26" t="s">
        <v>60</v>
      </c>
      <c r="S29" s="26" t="s">
        <v>90</v>
      </c>
      <c r="T29" s="26" t="s">
        <v>327</v>
      </c>
      <c r="U29" s="26" t="s">
        <v>233</v>
      </c>
      <c r="V29" s="26" t="s">
        <v>328</v>
      </c>
      <c r="W29" s="26" t="s">
        <v>60</v>
      </c>
      <c r="X29" s="26" t="s">
        <v>60</v>
      </c>
      <c r="Y29" s="26" t="s">
        <v>55</v>
      </c>
      <c r="Z29" s="26" t="s">
        <v>56</v>
      </c>
      <c r="AA29" s="26" t="s">
        <v>60</v>
      </c>
      <c r="AB29" s="26" t="s">
        <v>60</v>
      </c>
      <c r="AC29" s="26" t="s">
        <v>60</v>
      </c>
      <c r="AD29" s="26" t="s">
        <v>60</v>
      </c>
      <c r="AE29" s="26" t="s">
        <v>60</v>
      </c>
      <c r="AF29" s="26" t="s">
        <v>60</v>
      </c>
      <c r="AG29" s="26" t="s">
        <v>428</v>
      </c>
      <c r="AH29" s="26" t="s">
        <v>430</v>
      </c>
      <c r="AI29" t="s">
        <v>133</v>
      </c>
      <c r="AJ29" t="s">
        <v>331</v>
      </c>
      <c r="AK29">
        <v>5</v>
      </c>
      <c r="AL29">
        <v>275</v>
      </c>
      <c r="AM29" s="26" t="s">
        <v>57</v>
      </c>
      <c r="AN29" s="26" t="s">
        <v>58</v>
      </c>
      <c r="AO29" s="26">
        <v>0</v>
      </c>
      <c r="AP29" s="26">
        <v>0</v>
      </c>
      <c r="AQ29" t="s">
        <v>60</v>
      </c>
      <c r="AR29" t="s">
        <v>60</v>
      </c>
      <c r="AS29" s="26" t="s">
        <v>60</v>
      </c>
      <c r="AT29" s="26" t="s">
        <v>60</v>
      </c>
      <c r="AU29" s="26" t="s">
        <v>471</v>
      </c>
      <c r="AV29" s="26" t="s">
        <v>59</v>
      </c>
      <c r="AW29" s="26" t="s">
        <v>472</v>
      </c>
      <c r="AX29" s="26" t="s">
        <v>472</v>
      </c>
      <c r="AY29" s="26" t="s">
        <v>474</v>
      </c>
      <c r="AZ29" s="26" t="s">
        <v>475</v>
      </c>
      <c r="BA29" s="26" t="s">
        <v>473</v>
      </c>
      <c r="BB29" s="26" t="s">
        <v>476</v>
      </c>
      <c r="BC29" s="26" t="s">
        <v>121</v>
      </c>
      <c r="BD29" s="26" t="s">
        <v>560</v>
      </c>
      <c r="BE29" s="26" t="s">
        <v>60</v>
      </c>
      <c r="BF29" s="26" t="s">
        <v>60</v>
      </c>
      <c r="BG29" s="26" t="s">
        <v>60</v>
      </c>
      <c r="BH29" s="26" t="s">
        <v>60</v>
      </c>
      <c r="BI29" s="26" t="s">
        <v>60</v>
      </c>
      <c r="BJ29" s="26" t="s">
        <v>60</v>
      </c>
      <c r="BK29" s="26" t="s">
        <v>60</v>
      </c>
      <c r="BL29" s="26" t="s">
        <v>477</v>
      </c>
      <c r="BM29" s="6">
        <v>45207</v>
      </c>
      <c r="BN29" s="26" t="s">
        <v>45</v>
      </c>
      <c r="BO29" s="26" t="s">
        <v>268</v>
      </c>
      <c r="BP29" s="26" t="s">
        <v>28</v>
      </c>
      <c r="BQ29">
        <v>123.63</v>
      </c>
      <c r="BR29">
        <v>237.48</v>
      </c>
      <c r="BS29">
        <v>206.93</v>
      </c>
      <c r="BT29">
        <v>299.92</v>
      </c>
      <c r="BU29">
        <v>9.81</v>
      </c>
      <c r="BV29">
        <v>38.76</v>
      </c>
      <c r="BW29">
        <v>7.67</v>
      </c>
      <c r="BX29" s="26">
        <v>0</v>
      </c>
      <c r="BY29" s="26">
        <v>0</v>
      </c>
      <c r="BZ29">
        <v>8.7899999999999991</v>
      </c>
      <c r="CA29">
        <v>68.58</v>
      </c>
      <c r="CB29">
        <v>2.79</v>
      </c>
    </row>
    <row r="30" spans="1:80" x14ac:dyDescent="0.25">
      <c r="A30" s="26">
        <v>631</v>
      </c>
      <c r="B30" s="26" t="s">
        <v>266</v>
      </c>
      <c r="C30" s="26" t="s">
        <v>182</v>
      </c>
      <c r="D30" s="26" t="s">
        <v>14</v>
      </c>
      <c r="E30" s="1">
        <v>9</v>
      </c>
      <c r="F30" s="5">
        <v>2.48</v>
      </c>
      <c r="G30" s="1">
        <v>22.32</v>
      </c>
      <c r="H30" s="1">
        <v>2.79</v>
      </c>
      <c r="I30" s="1">
        <v>25.11</v>
      </c>
      <c r="J30" s="1">
        <v>2.7899999999999991</v>
      </c>
      <c r="K30" s="5" t="s">
        <v>135</v>
      </c>
      <c r="L30" s="26" t="s">
        <v>326</v>
      </c>
      <c r="M30" s="26" t="s">
        <v>428</v>
      </c>
      <c r="N30" s="26" t="s">
        <v>429</v>
      </c>
      <c r="O30" s="26" t="s">
        <v>60</v>
      </c>
      <c r="P30" s="26" t="s">
        <v>60</v>
      </c>
      <c r="Q30" s="26" t="s">
        <v>60</v>
      </c>
      <c r="R30" s="26" t="s">
        <v>60</v>
      </c>
      <c r="S30" s="26" t="s">
        <v>90</v>
      </c>
      <c r="T30" s="26" t="s">
        <v>327</v>
      </c>
      <c r="U30" s="26" t="s">
        <v>233</v>
      </c>
      <c r="V30" s="26" t="s">
        <v>328</v>
      </c>
      <c r="W30" s="26" t="s">
        <v>60</v>
      </c>
      <c r="X30" s="26" t="s">
        <v>60</v>
      </c>
      <c r="Y30" s="26" t="s">
        <v>55</v>
      </c>
      <c r="Z30" s="26" t="s">
        <v>56</v>
      </c>
      <c r="AA30" s="26" t="s">
        <v>60</v>
      </c>
      <c r="AB30" s="26" t="s">
        <v>60</v>
      </c>
      <c r="AC30" s="26" t="s">
        <v>60</v>
      </c>
      <c r="AD30" s="26" t="s">
        <v>60</v>
      </c>
      <c r="AE30" s="26" t="s">
        <v>60</v>
      </c>
      <c r="AF30" s="26" t="s">
        <v>60</v>
      </c>
      <c r="AG30" s="26"/>
      <c r="AH30" s="26"/>
      <c r="AI30" t="s">
        <v>133</v>
      </c>
      <c r="AJ30" t="s">
        <v>331</v>
      </c>
      <c r="AK30" t="s">
        <v>431</v>
      </c>
      <c r="AL30" t="s">
        <v>432</v>
      </c>
      <c r="AM30" s="26" t="s">
        <v>57</v>
      </c>
      <c r="AN30" s="26" t="s">
        <v>58</v>
      </c>
      <c r="AO30" s="26" t="s">
        <v>60</v>
      </c>
      <c r="AP30" s="26" t="s">
        <v>60</v>
      </c>
      <c r="AQ30" t="s">
        <v>60</v>
      </c>
      <c r="AR30" t="s">
        <v>60</v>
      </c>
      <c r="AS30" s="26"/>
      <c r="AT30" s="26"/>
      <c r="AU30" s="26"/>
      <c r="AV30" s="26" t="s">
        <v>59</v>
      </c>
      <c r="AW30" s="26"/>
      <c r="AX30" s="26"/>
      <c r="AY30" s="26"/>
      <c r="AZ30" s="26"/>
      <c r="BA30" s="26"/>
      <c r="BB30" s="26" t="s">
        <v>476</v>
      </c>
      <c r="BC30" s="26"/>
      <c r="BD30" s="26"/>
      <c r="BE30" s="26"/>
      <c r="BF30" s="26"/>
      <c r="BG30" s="26"/>
      <c r="BH30" s="26"/>
      <c r="BI30" s="26"/>
      <c r="BJ30" s="26"/>
      <c r="BK30" s="26"/>
      <c r="BL30" s="26" t="s">
        <v>477</v>
      </c>
      <c r="BM30" s="6">
        <v>45207</v>
      </c>
      <c r="BN30" s="26" t="s">
        <v>45</v>
      </c>
      <c r="BO30" s="26" t="s">
        <v>268</v>
      </c>
      <c r="BP30" s="26" t="s">
        <v>28</v>
      </c>
      <c r="BQ30">
        <v>123.63</v>
      </c>
      <c r="BR30">
        <v>237.48</v>
      </c>
      <c r="BS30">
        <v>206.93</v>
      </c>
      <c r="BT30">
        <v>299.92</v>
      </c>
      <c r="BU30">
        <v>9.81</v>
      </c>
      <c r="BV30">
        <v>38.76</v>
      </c>
      <c r="BW30">
        <v>7.67</v>
      </c>
      <c r="BX30" s="26">
        <v>0</v>
      </c>
      <c r="BY30" s="26">
        <v>0</v>
      </c>
      <c r="BZ30">
        <v>8.7899999999999991</v>
      </c>
      <c r="CA30">
        <v>68.58</v>
      </c>
      <c r="CB30">
        <v>2.79</v>
      </c>
    </row>
    <row r="31" spans="1:80" x14ac:dyDescent="0.25">
      <c r="A31" s="26">
        <v>775</v>
      </c>
      <c r="B31" s="26" t="s">
        <v>147</v>
      </c>
      <c r="C31" s="26" t="s">
        <v>148</v>
      </c>
      <c r="D31" s="26" t="s">
        <v>18</v>
      </c>
      <c r="E31" s="1">
        <v>7.5</v>
      </c>
      <c r="F31" s="5">
        <v>84.4</v>
      </c>
      <c r="G31" s="1">
        <v>633</v>
      </c>
      <c r="H31" s="1">
        <v>123.63</v>
      </c>
      <c r="I31" s="1">
        <v>927.22499999999991</v>
      </c>
      <c r="J31" s="1">
        <v>294.22499999999991</v>
      </c>
      <c r="K31" s="5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M31" s="26"/>
      <c r="AN31" s="26"/>
      <c r="AO31" s="26"/>
      <c r="AP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6">
        <v>45202</v>
      </c>
      <c r="BN31" s="26" t="s">
        <v>45</v>
      </c>
      <c r="BO31" s="26" t="s">
        <v>267</v>
      </c>
      <c r="BP31" s="26" t="s">
        <v>28</v>
      </c>
      <c r="BQ31">
        <v>123.63</v>
      </c>
      <c r="BR31">
        <v>237.48</v>
      </c>
      <c r="BS31">
        <v>206.93</v>
      </c>
      <c r="BT31">
        <v>299.92</v>
      </c>
      <c r="BU31">
        <v>9.81</v>
      </c>
      <c r="BV31">
        <v>38.76</v>
      </c>
      <c r="BW31">
        <v>7.67</v>
      </c>
      <c r="BX31" s="26">
        <v>0</v>
      </c>
      <c r="BY31" s="26">
        <v>0</v>
      </c>
      <c r="BZ31">
        <v>8.7899999999999991</v>
      </c>
      <c r="CA31">
        <v>68.58</v>
      </c>
      <c r="CB31">
        <v>2.79</v>
      </c>
    </row>
    <row r="32" spans="1:80" x14ac:dyDescent="0.25">
      <c r="A32" s="26">
        <v>775</v>
      </c>
      <c r="B32" s="26" t="s">
        <v>147</v>
      </c>
      <c r="C32" s="26" t="s">
        <v>148</v>
      </c>
      <c r="D32" s="26" t="s">
        <v>18</v>
      </c>
      <c r="E32" s="1">
        <v>8</v>
      </c>
      <c r="F32" s="5">
        <v>84.4</v>
      </c>
      <c r="G32" s="1">
        <v>675.2</v>
      </c>
      <c r="H32" s="1">
        <v>123.63</v>
      </c>
      <c r="I32" s="1">
        <v>989.04</v>
      </c>
      <c r="J32" s="1">
        <v>313.83999999999992</v>
      </c>
      <c r="K32" s="5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M32" s="26"/>
      <c r="AN32" s="26"/>
      <c r="AO32" s="26"/>
      <c r="AP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6">
        <v>45203</v>
      </c>
      <c r="BN32" s="26" t="s">
        <v>45</v>
      </c>
      <c r="BO32" s="26" t="s">
        <v>267</v>
      </c>
      <c r="BP32" s="26" t="s">
        <v>28</v>
      </c>
      <c r="BQ32">
        <v>123.63</v>
      </c>
      <c r="BR32">
        <v>237.48</v>
      </c>
      <c r="BS32">
        <v>206.93</v>
      </c>
      <c r="BT32">
        <v>299.92</v>
      </c>
      <c r="BU32">
        <v>9.81</v>
      </c>
      <c r="BV32">
        <v>38.76</v>
      </c>
      <c r="BW32">
        <v>7.67</v>
      </c>
      <c r="BX32" s="26">
        <v>0</v>
      </c>
      <c r="BY32" s="26">
        <v>0</v>
      </c>
      <c r="BZ32">
        <v>8.7899999999999991</v>
      </c>
      <c r="CA32">
        <v>68.58</v>
      </c>
      <c r="CB32">
        <v>2.79</v>
      </c>
    </row>
    <row r="33" spans="1:80" x14ac:dyDescent="0.25">
      <c r="A33" s="26">
        <v>775</v>
      </c>
      <c r="B33" s="26" t="s">
        <v>147</v>
      </c>
      <c r="C33" s="26" t="s">
        <v>148</v>
      </c>
      <c r="D33" s="26" t="s">
        <v>19</v>
      </c>
      <c r="E33" s="1">
        <v>2.5</v>
      </c>
      <c r="F33" s="5">
        <v>168.8</v>
      </c>
      <c r="G33" s="1">
        <v>422</v>
      </c>
      <c r="H33" s="1">
        <v>206.93</v>
      </c>
      <c r="I33" s="1">
        <v>517.32500000000005</v>
      </c>
      <c r="J33" s="1">
        <v>95.325000000000045</v>
      </c>
      <c r="K33" s="5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M33" s="26"/>
      <c r="AN33" s="26"/>
      <c r="AO33" s="26"/>
      <c r="AP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6">
        <v>45203</v>
      </c>
      <c r="BN33" s="26" t="s">
        <v>45</v>
      </c>
      <c r="BO33" s="26" t="s">
        <v>267</v>
      </c>
      <c r="BP33" s="26" t="s">
        <v>28</v>
      </c>
      <c r="BQ33">
        <v>123.63</v>
      </c>
      <c r="BR33">
        <v>237.48</v>
      </c>
      <c r="BS33">
        <v>206.93</v>
      </c>
      <c r="BT33">
        <v>299.92</v>
      </c>
      <c r="BU33">
        <v>9.81</v>
      </c>
      <c r="BV33">
        <v>38.76</v>
      </c>
      <c r="BW33">
        <v>7.67</v>
      </c>
      <c r="BX33" s="26">
        <v>0</v>
      </c>
      <c r="BY33" s="26">
        <v>0</v>
      </c>
      <c r="BZ33">
        <v>8.7899999999999991</v>
      </c>
      <c r="CA33">
        <v>68.58</v>
      </c>
      <c r="CB33">
        <v>2.79</v>
      </c>
    </row>
    <row r="34" spans="1:80" x14ac:dyDescent="0.25">
      <c r="A34" s="26">
        <v>775</v>
      </c>
      <c r="B34" s="26" t="s">
        <v>147</v>
      </c>
      <c r="C34" s="26" t="s">
        <v>148</v>
      </c>
      <c r="D34" s="26" t="s">
        <v>18</v>
      </c>
      <c r="E34" s="1">
        <v>8</v>
      </c>
      <c r="F34" s="5">
        <v>84.4</v>
      </c>
      <c r="G34" s="1">
        <v>675.2</v>
      </c>
      <c r="H34" s="1">
        <v>123.63</v>
      </c>
      <c r="I34" s="1">
        <v>989.04</v>
      </c>
      <c r="J34" s="1">
        <v>313.83999999999992</v>
      </c>
      <c r="K34" s="5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M34" s="26"/>
      <c r="AN34" s="26"/>
      <c r="AO34" s="26"/>
      <c r="AP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6">
        <v>45204</v>
      </c>
      <c r="BN34" s="26" t="s">
        <v>45</v>
      </c>
      <c r="BO34" s="26" t="s">
        <v>267</v>
      </c>
      <c r="BP34" s="26" t="s">
        <v>28</v>
      </c>
      <c r="BQ34">
        <v>123.63</v>
      </c>
      <c r="BR34">
        <v>237.48</v>
      </c>
      <c r="BS34">
        <v>206.93</v>
      </c>
      <c r="BT34">
        <v>299.92</v>
      </c>
      <c r="BU34">
        <v>9.81</v>
      </c>
      <c r="BV34">
        <v>38.76</v>
      </c>
      <c r="BW34">
        <v>7.67</v>
      </c>
      <c r="BX34" s="26">
        <v>0</v>
      </c>
      <c r="BY34" s="26">
        <v>0</v>
      </c>
      <c r="BZ34">
        <v>8.7899999999999991</v>
      </c>
      <c r="CA34">
        <v>68.58</v>
      </c>
      <c r="CB34">
        <v>2.79</v>
      </c>
    </row>
    <row r="35" spans="1:80" x14ac:dyDescent="0.25">
      <c r="A35" s="26">
        <v>775</v>
      </c>
      <c r="B35" s="26" t="s">
        <v>147</v>
      </c>
      <c r="C35" s="26" t="s">
        <v>148</v>
      </c>
      <c r="D35" s="26" t="s">
        <v>19</v>
      </c>
      <c r="E35" s="1">
        <v>2</v>
      </c>
      <c r="F35" s="5">
        <v>168.8</v>
      </c>
      <c r="G35" s="1">
        <v>337.6</v>
      </c>
      <c r="H35" s="1">
        <v>206.93</v>
      </c>
      <c r="I35" s="1">
        <v>413.86</v>
      </c>
      <c r="J35" s="1">
        <v>76.259999999999991</v>
      </c>
      <c r="K35" s="5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M35" s="26"/>
      <c r="AN35" s="26"/>
      <c r="AO35" s="26"/>
      <c r="AP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6">
        <v>45204</v>
      </c>
      <c r="BN35" s="26" t="s">
        <v>45</v>
      </c>
      <c r="BO35" s="26" t="s">
        <v>267</v>
      </c>
      <c r="BP35" s="26" t="s">
        <v>28</v>
      </c>
      <c r="BQ35">
        <v>123.63</v>
      </c>
      <c r="BR35">
        <v>237.48</v>
      </c>
      <c r="BS35">
        <v>206.93</v>
      </c>
      <c r="BT35">
        <v>299.92</v>
      </c>
      <c r="BU35">
        <v>9.81</v>
      </c>
      <c r="BV35">
        <v>38.76</v>
      </c>
      <c r="BW35">
        <v>7.67</v>
      </c>
      <c r="BX35" s="26">
        <v>0</v>
      </c>
      <c r="BY35" s="26">
        <v>0</v>
      </c>
      <c r="BZ35">
        <v>8.7899999999999991</v>
      </c>
      <c r="CA35">
        <v>68.58</v>
      </c>
      <c r="CB35">
        <v>2.79</v>
      </c>
    </row>
    <row r="36" spans="1:80" x14ac:dyDescent="0.25">
      <c r="A36" s="26">
        <v>775</v>
      </c>
      <c r="B36" s="26" t="s">
        <v>147</v>
      </c>
      <c r="C36" s="26" t="s">
        <v>148</v>
      </c>
      <c r="D36" s="26" t="s">
        <v>18</v>
      </c>
      <c r="E36" s="1">
        <v>8</v>
      </c>
      <c r="F36" s="5">
        <v>84.4</v>
      </c>
      <c r="G36" s="1">
        <v>675.2</v>
      </c>
      <c r="H36" s="1">
        <v>123.63</v>
      </c>
      <c r="I36" s="1">
        <v>989.04</v>
      </c>
      <c r="J36" s="1">
        <v>313.83999999999992</v>
      </c>
      <c r="K36" s="5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M36" s="26"/>
      <c r="AN36" s="26"/>
      <c r="AO36" s="26"/>
      <c r="AP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6">
        <v>45205</v>
      </c>
      <c r="BN36" s="26" t="s">
        <v>45</v>
      </c>
      <c r="BO36" s="26" t="s">
        <v>267</v>
      </c>
      <c r="BP36" s="26" t="s">
        <v>28</v>
      </c>
      <c r="BQ36">
        <v>123.63</v>
      </c>
      <c r="BR36">
        <v>237.48</v>
      </c>
      <c r="BS36">
        <v>206.93</v>
      </c>
      <c r="BT36">
        <v>299.92</v>
      </c>
      <c r="BU36">
        <v>9.81</v>
      </c>
      <c r="BV36">
        <v>38.76</v>
      </c>
      <c r="BW36">
        <v>7.67</v>
      </c>
      <c r="BX36" s="26">
        <v>0</v>
      </c>
      <c r="BY36" s="26">
        <v>0</v>
      </c>
      <c r="BZ36">
        <v>8.7899999999999991</v>
      </c>
      <c r="CA36">
        <v>68.58</v>
      </c>
      <c r="CB36">
        <v>2.79</v>
      </c>
    </row>
    <row r="37" spans="1:80" x14ac:dyDescent="0.25">
      <c r="A37" s="26">
        <v>775</v>
      </c>
      <c r="B37" s="26" t="s">
        <v>147</v>
      </c>
      <c r="C37" s="26" t="s">
        <v>148</v>
      </c>
      <c r="D37" s="26" t="s">
        <v>19</v>
      </c>
      <c r="E37" s="1">
        <v>1.5</v>
      </c>
      <c r="F37" s="5">
        <v>168.8</v>
      </c>
      <c r="G37" s="1">
        <v>253.2</v>
      </c>
      <c r="H37" s="1">
        <v>206.93</v>
      </c>
      <c r="I37" s="1">
        <v>310.39499999999998</v>
      </c>
      <c r="J37" s="1">
        <v>57.194999999999993</v>
      </c>
      <c r="K37" s="5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M37" s="26"/>
      <c r="AN37" s="26"/>
      <c r="AO37" s="26"/>
      <c r="AP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6">
        <v>45205</v>
      </c>
      <c r="BN37" s="26" t="s">
        <v>45</v>
      </c>
      <c r="BO37" s="26" t="s">
        <v>267</v>
      </c>
      <c r="BP37" s="26" t="s">
        <v>28</v>
      </c>
      <c r="BQ37">
        <v>123.63</v>
      </c>
      <c r="BR37">
        <v>237.48</v>
      </c>
      <c r="BS37">
        <v>206.93</v>
      </c>
      <c r="BT37">
        <v>299.92</v>
      </c>
      <c r="BU37">
        <v>9.81</v>
      </c>
      <c r="BV37">
        <v>38.76</v>
      </c>
      <c r="BW37">
        <v>7.67</v>
      </c>
      <c r="BX37" s="26">
        <v>0</v>
      </c>
      <c r="BY37" s="26">
        <v>0</v>
      </c>
      <c r="BZ37">
        <v>8.7899999999999991</v>
      </c>
      <c r="CA37">
        <v>68.58</v>
      </c>
      <c r="CB37">
        <v>2.79</v>
      </c>
    </row>
    <row r="38" spans="1:80" x14ac:dyDescent="0.25">
      <c r="A38" s="26">
        <v>775</v>
      </c>
      <c r="B38" s="26" t="s">
        <v>147</v>
      </c>
      <c r="C38" s="26" t="s">
        <v>148</v>
      </c>
      <c r="D38" s="26" t="s">
        <v>19</v>
      </c>
      <c r="E38" s="1">
        <v>8</v>
      </c>
      <c r="F38" s="5">
        <v>168.8</v>
      </c>
      <c r="G38" s="1">
        <v>1350.4</v>
      </c>
      <c r="H38" s="1">
        <v>206.93</v>
      </c>
      <c r="I38" s="1">
        <v>1655.44</v>
      </c>
      <c r="J38" s="1">
        <v>305.03999999999996</v>
      </c>
      <c r="K38" s="5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M38" s="26"/>
      <c r="AN38" s="26"/>
      <c r="AO38" s="26"/>
      <c r="AP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6">
        <v>45206</v>
      </c>
      <c r="BN38" s="26" t="s">
        <v>45</v>
      </c>
      <c r="BO38" s="26" t="s">
        <v>267</v>
      </c>
      <c r="BP38" s="26" t="s">
        <v>28</v>
      </c>
      <c r="BQ38">
        <v>123.63</v>
      </c>
      <c r="BR38">
        <v>237.48</v>
      </c>
      <c r="BS38">
        <v>206.93</v>
      </c>
      <c r="BT38">
        <v>299.92</v>
      </c>
      <c r="BU38">
        <v>9.81</v>
      </c>
      <c r="BV38">
        <v>38.76</v>
      </c>
      <c r="BW38">
        <v>7.67</v>
      </c>
      <c r="BX38" s="26">
        <v>0</v>
      </c>
      <c r="BY38" s="26">
        <v>0</v>
      </c>
      <c r="BZ38">
        <v>8.7899999999999991</v>
      </c>
      <c r="CA38">
        <v>68.58</v>
      </c>
      <c r="CB38">
        <v>2.79</v>
      </c>
    </row>
    <row r="39" spans="1:80" x14ac:dyDescent="0.25">
      <c r="A39" s="26">
        <v>775</v>
      </c>
      <c r="B39" s="26" t="s">
        <v>329</v>
      </c>
      <c r="C39" s="26" t="s">
        <v>148</v>
      </c>
      <c r="D39" s="26" t="s">
        <v>22</v>
      </c>
      <c r="E39" s="1">
        <v>45.5</v>
      </c>
      <c r="F39" s="5">
        <v>7.7</v>
      </c>
      <c r="G39" s="1">
        <v>350.35</v>
      </c>
      <c r="H39" s="1">
        <v>9.81</v>
      </c>
      <c r="I39" s="1">
        <v>446.35500000000002</v>
      </c>
      <c r="J39" s="1">
        <v>96.004999999999995</v>
      </c>
      <c r="K39" s="5" t="s">
        <v>386</v>
      </c>
      <c r="L39" s="26" t="s">
        <v>387</v>
      </c>
      <c r="M39" s="26" t="s">
        <v>362</v>
      </c>
      <c r="N39" s="26" t="s">
        <v>374</v>
      </c>
      <c r="O39" s="26" t="s">
        <v>60</v>
      </c>
      <c r="P39" s="26" t="s">
        <v>60</v>
      </c>
      <c r="Q39" s="26" t="s">
        <v>60</v>
      </c>
      <c r="R39" s="26" t="s">
        <v>60</v>
      </c>
      <c r="S39" s="26" t="s">
        <v>90</v>
      </c>
      <c r="T39" s="26" t="s">
        <v>327</v>
      </c>
      <c r="U39" s="26" t="s">
        <v>388</v>
      </c>
      <c r="V39" s="26" t="s">
        <v>389</v>
      </c>
      <c r="W39" s="26" t="s">
        <v>60</v>
      </c>
      <c r="X39" s="26" t="s">
        <v>60</v>
      </c>
      <c r="Y39" s="26" t="s">
        <v>55</v>
      </c>
      <c r="Z39" s="26" t="s">
        <v>56</v>
      </c>
      <c r="AA39" s="26" t="s">
        <v>60</v>
      </c>
      <c r="AB39" s="26" t="s">
        <v>60</v>
      </c>
      <c r="AC39" s="26" t="s">
        <v>60</v>
      </c>
      <c r="AD39" s="26" t="s">
        <v>60</v>
      </c>
      <c r="AE39" s="26" t="s">
        <v>60</v>
      </c>
      <c r="AF39" s="26" t="s">
        <v>60</v>
      </c>
      <c r="AG39" s="26" t="s">
        <v>362</v>
      </c>
      <c r="AH39" s="26" t="s">
        <v>375</v>
      </c>
      <c r="AI39" t="s">
        <v>431</v>
      </c>
      <c r="AJ39" t="s">
        <v>433</v>
      </c>
      <c r="AK39" t="s">
        <v>167</v>
      </c>
      <c r="AL39" t="s">
        <v>434</v>
      </c>
      <c r="AM39" s="26" t="s">
        <v>57</v>
      </c>
      <c r="AN39" s="26" t="s">
        <v>58</v>
      </c>
      <c r="AO39" s="26"/>
      <c r="AP39" s="26"/>
      <c r="AS39" s="26"/>
      <c r="AT39" s="26"/>
      <c r="AU39" s="26"/>
      <c r="AV39" s="26" t="s">
        <v>59</v>
      </c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6">
        <v>45207</v>
      </c>
      <c r="BN39" s="26" t="s">
        <v>45</v>
      </c>
      <c r="BO39" s="26" t="s">
        <v>267</v>
      </c>
      <c r="BP39" s="26" t="s">
        <v>28</v>
      </c>
      <c r="BQ39">
        <v>123.63</v>
      </c>
      <c r="BR39">
        <v>237.48</v>
      </c>
      <c r="BS39">
        <v>206.93</v>
      </c>
      <c r="BT39">
        <v>299.92</v>
      </c>
      <c r="BU39">
        <v>9.81</v>
      </c>
      <c r="BV39">
        <v>38.76</v>
      </c>
      <c r="BW39">
        <v>7.67</v>
      </c>
      <c r="BX39" s="26">
        <v>0</v>
      </c>
      <c r="BY39" s="26">
        <v>0</v>
      </c>
      <c r="BZ39">
        <v>8.7899999999999991</v>
      </c>
      <c r="CA39">
        <v>68.58</v>
      </c>
      <c r="CB39">
        <v>2.79</v>
      </c>
    </row>
    <row r="40" spans="1:80" x14ac:dyDescent="0.25">
      <c r="A40" s="26">
        <v>775</v>
      </c>
      <c r="B40" s="26" t="s">
        <v>329</v>
      </c>
      <c r="C40" s="26" t="s">
        <v>148</v>
      </c>
      <c r="D40" s="26" t="s">
        <v>13</v>
      </c>
      <c r="E40" s="1">
        <v>5</v>
      </c>
      <c r="F40" s="5">
        <v>36.089999999999996</v>
      </c>
      <c r="G40" s="1">
        <v>180.45</v>
      </c>
      <c r="H40" s="1">
        <v>38.76</v>
      </c>
      <c r="I40" s="1">
        <v>193.79999999999998</v>
      </c>
      <c r="J40" s="1">
        <v>13.349999999999994</v>
      </c>
      <c r="K40" s="5" t="s">
        <v>386</v>
      </c>
      <c r="L40" s="26" t="s">
        <v>387</v>
      </c>
      <c r="M40" s="26" t="s">
        <v>362</v>
      </c>
      <c r="N40" s="26" t="s">
        <v>374</v>
      </c>
      <c r="O40" s="26" t="s">
        <v>60</v>
      </c>
      <c r="P40" s="26" t="s">
        <v>60</v>
      </c>
      <c r="Q40" s="26" t="s">
        <v>60</v>
      </c>
      <c r="R40" s="26" t="s">
        <v>60</v>
      </c>
      <c r="S40" s="26" t="s">
        <v>90</v>
      </c>
      <c r="T40" s="26" t="s">
        <v>327</v>
      </c>
      <c r="U40" s="26" t="s">
        <v>388</v>
      </c>
      <c r="V40" s="26" t="s">
        <v>389</v>
      </c>
      <c r="W40" s="26" t="s">
        <v>60</v>
      </c>
      <c r="X40" s="26" t="s">
        <v>60</v>
      </c>
      <c r="Y40" s="26" t="s">
        <v>55</v>
      </c>
      <c r="Z40" s="26" t="s">
        <v>56</v>
      </c>
      <c r="AA40" s="26" t="s">
        <v>60</v>
      </c>
      <c r="AB40" s="26" t="s">
        <v>60</v>
      </c>
      <c r="AC40" s="26" t="s">
        <v>60</v>
      </c>
      <c r="AD40" s="26" t="s">
        <v>60</v>
      </c>
      <c r="AE40" s="26" t="s">
        <v>60</v>
      </c>
      <c r="AF40" s="26" t="s">
        <v>60</v>
      </c>
      <c r="AG40" s="26" t="s">
        <v>362</v>
      </c>
      <c r="AH40" s="26" t="s">
        <v>375</v>
      </c>
      <c r="AI40">
        <v>5</v>
      </c>
      <c r="AJ40">
        <v>180.45</v>
      </c>
      <c r="AK40" t="s">
        <v>167</v>
      </c>
      <c r="AL40" t="s">
        <v>434</v>
      </c>
      <c r="AM40" s="26" t="s">
        <v>57</v>
      </c>
      <c r="AN40" s="26" t="s">
        <v>58</v>
      </c>
      <c r="AO40" s="26" t="s">
        <v>60</v>
      </c>
      <c r="AP40" s="26" t="s">
        <v>60</v>
      </c>
      <c r="AQ40">
        <v>0</v>
      </c>
      <c r="AR40">
        <v>0</v>
      </c>
      <c r="AS40" s="26" t="s">
        <v>334</v>
      </c>
      <c r="AT40" s="26" t="s">
        <v>60</v>
      </c>
      <c r="AU40" s="26" t="s">
        <v>60</v>
      </c>
      <c r="AV40" s="26" t="s">
        <v>59</v>
      </c>
      <c r="AW40" s="26" t="s">
        <v>478</v>
      </c>
      <c r="AX40" s="26" t="s">
        <v>479</v>
      </c>
      <c r="AY40" s="26" t="s">
        <v>481</v>
      </c>
      <c r="AZ40" s="26" t="s">
        <v>482</v>
      </c>
      <c r="BA40" s="26" t="s">
        <v>480</v>
      </c>
      <c r="BB40" s="26" t="s">
        <v>483</v>
      </c>
      <c r="BC40" s="26"/>
      <c r="BD40" s="26"/>
      <c r="BE40" s="26"/>
      <c r="BF40" s="26"/>
      <c r="BG40" s="26"/>
      <c r="BH40" s="26"/>
      <c r="BI40" s="26"/>
      <c r="BJ40" s="26"/>
      <c r="BK40" s="26"/>
      <c r="BL40" s="26" t="s">
        <v>484</v>
      </c>
      <c r="BM40" s="6">
        <v>45207</v>
      </c>
      <c r="BN40" s="26" t="s">
        <v>45</v>
      </c>
      <c r="BO40" s="26" t="s">
        <v>267</v>
      </c>
      <c r="BP40" s="26" t="s">
        <v>28</v>
      </c>
      <c r="BQ40">
        <v>123.63</v>
      </c>
      <c r="BR40">
        <v>237.48</v>
      </c>
      <c r="BS40">
        <v>206.93</v>
      </c>
      <c r="BT40">
        <v>299.92</v>
      </c>
      <c r="BU40">
        <v>9.81</v>
      </c>
      <c r="BV40">
        <v>38.76</v>
      </c>
      <c r="BW40">
        <v>7.67</v>
      </c>
      <c r="BX40" s="26">
        <v>0</v>
      </c>
      <c r="BY40" s="26">
        <v>0</v>
      </c>
      <c r="BZ40">
        <v>8.7899999999999991</v>
      </c>
      <c r="CA40">
        <v>68.58</v>
      </c>
      <c r="CB40">
        <v>2.79</v>
      </c>
    </row>
    <row r="41" spans="1:80" x14ac:dyDescent="0.25">
      <c r="A41" s="26">
        <v>775</v>
      </c>
      <c r="B41" s="26" t="s">
        <v>329</v>
      </c>
      <c r="C41" s="26" t="s">
        <v>148</v>
      </c>
      <c r="D41" s="26" t="s">
        <v>25</v>
      </c>
      <c r="E41" s="1">
        <v>6</v>
      </c>
      <c r="F41" s="5">
        <v>55</v>
      </c>
      <c r="G41" s="1">
        <v>330</v>
      </c>
      <c r="H41" s="1">
        <v>68.58</v>
      </c>
      <c r="I41" s="1">
        <v>411.48</v>
      </c>
      <c r="J41" s="1">
        <v>81.480000000000018</v>
      </c>
      <c r="K41" s="5" t="s">
        <v>386</v>
      </c>
      <c r="L41" s="26" t="s">
        <v>387</v>
      </c>
      <c r="M41" s="26" t="s">
        <v>362</v>
      </c>
      <c r="N41" s="26" t="s">
        <v>374</v>
      </c>
      <c r="O41" s="26" t="s">
        <v>60</v>
      </c>
      <c r="P41" s="26" t="s">
        <v>60</v>
      </c>
      <c r="Q41" s="26" t="s">
        <v>60</v>
      </c>
      <c r="R41" s="26" t="s">
        <v>60</v>
      </c>
      <c r="S41" s="26" t="s">
        <v>90</v>
      </c>
      <c r="T41" s="26" t="s">
        <v>327</v>
      </c>
      <c r="U41" s="26" t="s">
        <v>388</v>
      </c>
      <c r="V41" s="26" t="s">
        <v>389</v>
      </c>
      <c r="W41" s="26" t="s">
        <v>60</v>
      </c>
      <c r="X41" s="26" t="s">
        <v>60</v>
      </c>
      <c r="Y41" s="26" t="s">
        <v>55</v>
      </c>
      <c r="Z41" s="26" t="s">
        <v>56</v>
      </c>
      <c r="AA41" s="26" t="s">
        <v>60</v>
      </c>
      <c r="AB41" s="26" t="s">
        <v>60</v>
      </c>
      <c r="AC41" s="26" t="s">
        <v>60</v>
      </c>
      <c r="AD41" s="26" t="s">
        <v>60</v>
      </c>
      <c r="AE41" s="26" t="s">
        <v>60</v>
      </c>
      <c r="AF41" s="26" t="s">
        <v>60</v>
      </c>
      <c r="AG41" s="26" t="s">
        <v>362</v>
      </c>
      <c r="AH41" s="26" t="s">
        <v>375</v>
      </c>
      <c r="AI41" t="s">
        <v>431</v>
      </c>
      <c r="AJ41" t="s">
        <v>433</v>
      </c>
      <c r="AK41">
        <v>6</v>
      </c>
      <c r="AL41">
        <v>330</v>
      </c>
      <c r="AM41" s="26" t="s">
        <v>57</v>
      </c>
      <c r="AN41" s="26" t="s">
        <v>58</v>
      </c>
      <c r="AO41" s="26">
        <v>0</v>
      </c>
      <c r="AP41" s="26">
        <v>0</v>
      </c>
      <c r="AQ41" t="s">
        <v>60</v>
      </c>
      <c r="AR41" t="s">
        <v>60</v>
      </c>
      <c r="AS41" s="26" t="s">
        <v>334</v>
      </c>
      <c r="AT41" s="26" t="s">
        <v>60</v>
      </c>
      <c r="AU41" s="26" t="s">
        <v>60</v>
      </c>
      <c r="AV41" s="26" t="s">
        <v>59</v>
      </c>
      <c r="AW41" s="26" t="s">
        <v>478</v>
      </c>
      <c r="AX41" s="26" t="s">
        <v>479</v>
      </c>
      <c r="AY41" s="26" t="s">
        <v>481</v>
      </c>
      <c r="AZ41" s="26" t="s">
        <v>482</v>
      </c>
      <c r="BA41" s="26" t="s">
        <v>480</v>
      </c>
      <c r="BB41" s="26" t="s">
        <v>483</v>
      </c>
      <c r="BC41" s="26" t="s">
        <v>121</v>
      </c>
      <c r="BD41" s="26" t="s">
        <v>561</v>
      </c>
      <c r="BE41" s="26" t="s">
        <v>60</v>
      </c>
      <c r="BF41" s="26" t="s">
        <v>60</v>
      </c>
      <c r="BG41" s="26" t="s">
        <v>60</v>
      </c>
      <c r="BH41" s="26" t="s">
        <v>60</v>
      </c>
      <c r="BI41" s="26" t="s">
        <v>60</v>
      </c>
      <c r="BJ41" s="26" t="s">
        <v>60</v>
      </c>
      <c r="BK41" s="26" t="s">
        <v>60</v>
      </c>
      <c r="BL41" s="26" t="s">
        <v>484</v>
      </c>
      <c r="BM41" s="6">
        <v>45207</v>
      </c>
      <c r="BN41" s="26" t="s">
        <v>45</v>
      </c>
      <c r="BO41" s="26" t="s">
        <v>267</v>
      </c>
      <c r="BP41" s="26" t="s">
        <v>28</v>
      </c>
      <c r="BQ41">
        <v>123.63</v>
      </c>
      <c r="BR41">
        <v>237.48</v>
      </c>
      <c r="BS41">
        <v>206.93</v>
      </c>
      <c r="BT41">
        <v>299.92</v>
      </c>
      <c r="BU41">
        <v>9.81</v>
      </c>
      <c r="BV41">
        <v>38.76</v>
      </c>
      <c r="BW41">
        <v>7.67</v>
      </c>
      <c r="BX41" s="26">
        <v>0</v>
      </c>
      <c r="BY41" s="26">
        <v>0</v>
      </c>
      <c r="BZ41">
        <v>8.7899999999999991</v>
      </c>
      <c r="CA41">
        <v>68.58</v>
      </c>
      <c r="CB41">
        <v>2.79</v>
      </c>
    </row>
    <row r="42" spans="1:80" x14ac:dyDescent="0.25">
      <c r="A42" s="26">
        <v>775</v>
      </c>
      <c r="B42" s="26" t="s">
        <v>329</v>
      </c>
      <c r="C42" s="26" t="s">
        <v>148</v>
      </c>
      <c r="D42" s="26" t="s">
        <v>14</v>
      </c>
      <c r="E42" s="1">
        <v>14</v>
      </c>
      <c r="F42" s="5">
        <v>2.48</v>
      </c>
      <c r="G42" s="1">
        <v>34.72</v>
      </c>
      <c r="H42" s="1">
        <v>2.79</v>
      </c>
      <c r="I42" s="1">
        <v>39.06</v>
      </c>
      <c r="J42" s="1">
        <v>4.3400000000000034</v>
      </c>
      <c r="K42" s="5" t="s">
        <v>386</v>
      </c>
      <c r="L42" s="26" t="s">
        <v>387</v>
      </c>
      <c r="M42" s="26" t="s">
        <v>362</v>
      </c>
      <c r="N42" s="26" t="s">
        <v>374</v>
      </c>
      <c r="O42" s="26" t="s">
        <v>60</v>
      </c>
      <c r="P42" s="26" t="s">
        <v>60</v>
      </c>
      <c r="Q42" s="26" t="s">
        <v>60</v>
      </c>
      <c r="R42" s="26" t="s">
        <v>60</v>
      </c>
      <c r="S42" s="26" t="s">
        <v>90</v>
      </c>
      <c r="T42" s="26" t="s">
        <v>327</v>
      </c>
      <c r="U42" s="26" t="s">
        <v>388</v>
      </c>
      <c r="V42" s="26" t="s">
        <v>389</v>
      </c>
      <c r="W42" s="26" t="s">
        <v>60</v>
      </c>
      <c r="X42" s="26" t="s">
        <v>60</v>
      </c>
      <c r="Y42" s="26" t="s">
        <v>55</v>
      </c>
      <c r="Z42" s="26" t="s">
        <v>56</v>
      </c>
      <c r="AA42" s="26" t="s">
        <v>60</v>
      </c>
      <c r="AB42" s="26" t="s">
        <v>60</v>
      </c>
      <c r="AC42" s="26" t="s">
        <v>60</v>
      </c>
      <c r="AD42" s="26" t="s">
        <v>60</v>
      </c>
      <c r="AE42" s="26" t="s">
        <v>60</v>
      </c>
      <c r="AF42" s="26" t="s">
        <v>60</v>
      </c>
      <c r="AG42" s="26"/>
      <c r="AH42" s="26"/>
      <c r="AI42" t="s">
        <v>431</v>
      </c>
      <c r="AJ42" t="s">
        <v>433</v>
      </c>
      <c r="AK42" t="s">
        <v>167</v>
      </c>
      <c r="AL42" t="s">
        <v>434</v>
      </c>
      <c r="AM42" s="26" t="s">
        <v>57</v>
      </c>
      <c r="AN42" s="26" t="s">
        <v>58</v>
      </c>
      <c r="AO42" s="26" t="s">
        <v>60</v>
      </c>
      <c r="AP42" s="26" t="s">
        <v>60</v>
      </c>
      <c r="AQ42" t="s">
        <v>60</v>
      </c>
      <c r="AR42" t="s">
        <v>60</v>
      </c>
      <c r="AS42" s="26"/>
      <c r="AT42" s="26"/>
      <c r="AU42" s="26"/>
      <c r="AV42" s="26" t="s">
        <v>59</v>
      </c>
      <c r="AW42" s="26"/>
      <c r="AX42" s="26"/>
      <c r="AY42" s="26"/>
      <c r="AZ42" s="26"/>
      <c r="BA42" s="26"/>
      <c r="BB42" s="26" t="s">
        <v>483</v>
      </c>
      <c r="BC42" s="26"/>
      <c r="BD42" s="26"/>
      <c r="BE42" s="26"/>
      <c r="BF42" s="26"/>
      <c r="BG42" s="26"/>
      <c r="BH42" s="26"/>
      <c r="BI42" s="26"/>
      <c r="BJ42" s="26"/>
      <c r="BK42" s="26"/>
      <c r="BL42" s="26" t="s">
        <v>484</v>
      </c>
      <c r="BM42" s="6">
        <v>45207</v>
      </c>
      <c r="BN42" s="26" t="s">
        <v>45</v>
      </c>
      <c r="BO42" s="26" t="s">
        <v>267</v>
      </c>
      <c r="BP42" s="26" t="s">
        <v>28</v>
      </c>
      <c r="BQ42">
        <v>123.63</v>
      </c>
      <c r="BR42">
        <v>237.48</v>
      </c>
      <c r="BS42">
        <v>206.93</v>
      </c>
      <c r="BT42">
        <v>299.92</v>
      </c>
      <c r="BU42">
        <v>9.81</v>
      </c>
      <c r="BV42">
        <v>38.76</v>
      </c>
      <c r="BW42">
        <v>7.67</v>
      </c>
      <c r="BX42" s="26">
        <v>0</v>
      </c>
      <c r="BY42" s="26">
        <v>0</v>
      </c>
      <c r="BZ42">
        <v>8.7899999999999991</v>
      </c>
      <c r="CA42">
        <v>68.58</v>
      </c>
      <c r="CB42">
        <v>2.79</v>
      </c>
    </row>
    <row r="43" spans="1:80" x14ac:dyDescent="0.25">
      <c r="A43" s="26">
        <v>168</v>
      </c>
      <c r="B43" s="26" t="s">
        <v>5</v>
      </c>
      <c r="C43" s="26" t="s">
        <v>9</v>
      </c>
      <c r="D43" s="26" t="s">
        <v>18</v>
      </c>
      <c r="E43" s="1">
        <v>8</v>
      </c>
      <c r="F43" s="5">
        <v>58.38</v>
      </c>
      <c r="G43" s="1">
        <v>467.04</v>
      </c>
      <c r="H43" s="1">
        <v>101.29</v>
      </c>
      <c r="I43" s="1">
        <v>810.32</v>
      </c>
      <c r="J43" s="1">
        <v>343.28000000000003</v>
      </c>
      <c r="K43" s="5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M43" s="26"/>
      <c r="AN43" s="26"/>
      <c r="AO43" s="26"/>
      <c r="AP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6">
        <v>45202</v>
      </c>
      <c r="BN43" s="26" t="s">
        <v>45</v>
      </c>
      <c r="BO43" s="26" t="s">
        <v>172</v>
      </c>
      <c r="BP43" s="26" t="s">
        <v>91</v>
      </c>
      <c r="BQ43">
        <v>101.29</v>
      </c>
      <c r="BR43">
        <v>180.04</v>
      </c>
      <c r="BS43">
        <v>143.13999999999999</v>
      </c>
      <c r="BT43">
        <v>209.18</v>
      </c>
      <c r="BU43">
        <v>9.81</v>
      </c>
      <c r="BV43">
        <v>38.76</v>
      </c>
      <c r="BW43">
        <v>7.67</v>
      </c>
      <c r="BX43" s="26">
        <v>0</v>
      </c>
      <c r="BY43" s="26">
        <v>0</v>
      </c>
      <c r="BZ43">
        <v>8.7899999999999991</v>
      </c>
      <c r="CA43">
        <v>68.58</v>
      </c>
      <c r="CB43">
        <v>2.79</v>
      </c>
    </row>
    <row r="44" spans="1:80" x14ac:dyDescent="0.25">
      <c r="A44" s="26">
        <v>168</v>
      </c>
      <c r="B44" s="26" t="s">
        <v>5</v>
      </c>
      <c r="C44" s="26" t="s">
        <v>9</v>
      </c>
      <c r="D44" s="26" t="s">
        <v>19</v>
      </c>
      <c r="E44" s="1">
        <v>2</v>
      </c>
      <c r="F44" s="5">
        <v>116.76</v>
      </c>
      <c r="G44" s="1">
        <v>233.52</v>
      </c>
      <c r="H44" s="1">
        <v>143.13999999999999</v>
      </c>
      <c r="I44" s="1">
        <v>286.27999999999997</v>
      </c>
      <c r="J44" s="1">
        <v>52.759999999999962</v>
      </c>
      <c r="K44" s="5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M44" s="26"/>
      <c r="AN44" s="26"/>
      <c r="AO44" s="26"/>
      <c r="AP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6">
        <v>45202</v>
      </c>
      <c r="BN44" s="26" t="s">
        <v>45</v>
      </c>
      <c r="BO44" s="26" t="s">
        <v>172</v>
      </c>
      <c r="BP44" s="26" t="s">
        <v>91</v>
      </c>
      <c r="BQ44">
        <v>101.29</v>
      </c>
      <c r="BR44">
        <v>180.04</v>
      </c>
      <c r="BS44">
        <v>143.13999999999999</v>
      </c>
      <c r="BT44">
        <v>209.18</v>
      </c>
      <c r="BU44">
        <v>9.81</v>
      </c>
      <c r="BV44">
        <v>38.76</v>
      </c>
      <c r="BW44">
        <v>7.67</v>
      </c>
      <c r="BX44" s="26">
        <v>0</v>
      </c>
      <c r="BY44" s="26">
        <v>0</v>
      </c>
      <c r="BZ44">
        <v>8.7899999999999991</v>
      </c>
      <c r="CA44">
        <v>68.58</v>
      </c>
      <c r="CB44">
        <v>2.79</v>
      </c>
    </row>
    <row r="45" spans="1:80" x14ac:dyDescent="0.25">
      <c r="A45" s="26">
        <v>168</v>
      </c>
      <c r="B45" s="26" t="s">
        <v>5</v>
      </c>
      <c r="C45" s="26" t="s">
        <v>9</v>
      </c>
      <c r="D45" s="26" t="s">
        <v>18</v>
      </c>
      <c r="E45" s="1">
        <v>8</v>
      </c>
      <c r="F45" s="5">
        <v>58.38</v>
      </c>
      <c r="G45" s="1">
        <v>467.04</v>
      </c>
      <c r="H45" s="1">
        <v>101.29</v>
      </c>
      <c r="I45" s="1">
        <v>810.32</v>
      </c>
      <c r="J45" s="1">
        <v>343.28000000000003</v>
      </c>
      <c r="K45" s="5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M45" s="26"/>
      <c r="AN45" s="26"/>
      <c r="AO45" s="26"/>
      <c r="AP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6">
        <v>45203</v>
      </c>
      <c r="BN45" s="26" t="s">
        <v>45</v>
      </c>
      <c r="BO45" s="26" t="s">
        <v>172</v>
      </c>
      <c r="BP45" s="26" t="s">
        <v>91</v>
      </c>
      <c r="BQ45">
        <v>101.29</v>
      </c>
      <c r="BR45">
        <v>180.04</v>
      </c>
      <c r="BS45">
        <v>143.13999999999999</v>
      </c>
      <c r="BT45">
        <v>209.18</v>
      </c>
      <c r="BU45">
        <v>9.81</v>
      </c>
      <c r="BV45">
        <v>38.76</v>
      </c>
      <c r="BW45">
        <v>7.67</v>
      </c>
      <c r="BX45" s="26">
        <v>0</v>
      </c>
      <c r="BY45" s="26">
        <v>0</v>
      </c>
      <c r="BZ45">
        <v>8.7899999999999991</v>
      </c>
      <c r="CA45">
        <v>68.58</v>
      </c>
      <c r="CB45">
        <v>2.79</v>
      </c>
    </row>
    <row r="46" spans="1:80" x14ac:dyDescent="0.25">
      <c r="A46" s="26">
        <v>168</v>
      </c>
      <c r="B46" s="26" t="s">
        <v>5</v>
      </c>
      <c r="C46" s="26" t="s">
        <v>9</v>
      </c>
      <c r="D46" s="26" t="s">
        <v>19</v>
      </c>
      <c r="E46" s="1">
        <v>3</v>
      </c>
      <c r="F46" s="5">
        <v>116.76</v>
      </c>
      <c r="G46" s="1">
        <v>350.28</v>
      </c>
      <c r="H46" s="1">
        <v>143.13999999999999</v>
      </c>
      <c r="I46" s="1">
        <v>429.41999999999996</v>
      </c>
      <c r="J46" s="1">
        <v>79.139999999999986</v>
      </c>
      <c r="K46" s="5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M46" s="26"/>
      <c r="AN46" s="26"/>
      <c r="AO46" s="26"/>
      <c r="AP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6">
        <v>45203</v>
      </c>
      <c r="BN46" s="26" t="s">
        <v>45</v>
      </c>
      <c r="BO46" s="26" t="s">
        <v>172</v>
      </c>
      <c r="BP46" s="26" t="s">
        <v>91</v>
      </c>
      <c r="BQ46">
        <v>101.29</v>
      </c>
      <c r="BR46">
        <v>180.04</v>
      </c>
      <c r="BS46">
        <v>143.13999999999999</v>
      </c>
      <c r="BT46">
        <v>209.18</v>
      </c>
      <c r="BU46">
        <v>9.81</v>
      </c>
      <c r="BV46">
        <v>38.76</v>
      </c>
      <c r="BW46">
        <v>7.67</v>
      </c>
      <c r="BX46" s="26">
        <v>0</v>
      </c>
      <c r="BY46" s="26">
        <v>0</v>
      </c>
      <c r="BZ46">
        <v>8.7899999999999991</v>
      </c>
      <c r="CA46">
        <v>68.58</v>
      </c>
      <c r="CB46">
        <v>2.79</v>
      </c>
    </row>
    <row r="47" spans="1:80" x14ac:dyDescent="0.25">
      <c r="A47" s="26">
        <v>168</v>
      </c>
      <c r="B47" s="26" t="s">
        <v>5</v>
      </c>
      <c r="C47" s="26" t="s">
        <v>9</v>
      </c>
      <c r="D47" s="26" t="s">
        <v>18</v>
      </c>
      <c r="E47" s="1">
        <v>8</v>
      </c>
      <c r="F47" s="5">
        <v>58.38</v>
      </c>
      <c r="G47" s="1">
        <v>467.04</v>
      </c>
      <c r="H47" s="1">
        <v>101.29</v>
      </c>
      <c r="I47" s="1">
        <v>810.32</v>
      </c>
      <c r="J47" s="1">
        <v>343.28000000000003</v>
      </c>
      <c r="K47" s="5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M47" s="26"/>
      <c r="AN47" s="26"/>
      <c r="AO47" s="26"/>
      <c r="AP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6">
        <v>45204</v>
      </c>
      <c r="BN47" s="26" t="s">
        <v>45</v>
      </c>
      <c r="BO47" s="26" t="s">
        <v>172</v>
      </c>
      <c r="BP47" s="26" t="s">
        <v>91</v>
      </c>
      <c r="BQ47">
        <v>101.29</v>
      </c>
      <c r="BR47">
        <v>180.04</v>
      </c>
      <c r="BS47">
        <v>143.13999999999999</v>
      </c>
      <c r="BT47">
        <v>209.18</v>
      </c>
      <c r="BU47">
        <v>9.81</v>
      </c>
      <c r="BV47">
        <v>38.76</v>
      </c>
      <c r="BW47">
        <v>7.67</v>
      </c>
      <c r="BX47" s="26">
        <v>0</v>
      </c>
      <c r="BY47" s="26">
        <v>0</v>
      </c>
      <c r="BZ47">
        <v>8.7899999999999991</v>
      </c>
      <c r="CA47">
        <v>68.58</v>
      </c>
      <c r="CB47">
        <v>2.79</v>
      </c>
    </row>
    <row r="48" spans="1:80" x14ac:dyDescent="0.25">
      <c r="A48" s="26">
        <v>168</v>
      </c>
      <c r="B48" s="26" t="s">
        <v>5</v>
      </c>
      <c r="C48" s="26" t="s">
        <v>9</v>
      </c>
      <c r="D48" s="26" t="s">
        <v>19</v>
      </c>
      <c r="E48" s="1">
        <v>4</v>
      </c>
      <c r="F48" s="5">
        <v>116.76</v>
      </c>
      <c r="G48" s="1">
        <v>467.04</v>
      </c>
      <c r="H48" s="1">
        <v>143.13999999999999</v>
      </c>
      <c r="I48" s="1">
        <v>572.55999999999995</v>
      </c>
      <c r="J48" s="1">
        <v>105.51999999999992</v>
      </c>
      <c r="K48" s="5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M48" s="26"/>
      <c r="AN48" s="26"/>
      <c r="AO48" s="26"/>
      <c r="AP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6">
        <v>45204</v>
      </c>
      <c r="BN48" s="26" t="s">
        <v>45</v>
      </c>
      <c r="BO48" s="26" t="s">
        <v>172</v>
      </c>
      <c r="BP48" s="26" t="s">
        <v>91</v>
      </c>
      <c r="BQ48">
        <v>101.29</v>
      </c>
      <c r="BR48">
        <v>180.04</v>
      </c>
      <c r="BS48">
        <v>143.13999999999999</v>
      </c>
      <c r="BT48">
        <v>209.18</v>
      </c>
      <c r="BU48">
        <v>9.81</v>
      </c>
      <c r="BV48">
        <v>38.76</v>
      </c>
      <c r="BW48">
        <v>7.67</v>
      </c>
      <c r="BX48" s="26">
        <v>0</v>
      </c>
      <c r="BY48" s="26">
        <v>0</v>
      </c>
      <c r="BZ48">
        <v>8.7899999999999991</v>
      </c>
      <c r="CA48">
        <v>68.58</v>
      </c>
      <c r="CB48">
        <v>2.79</v>
      </c>
    </row>
    <row r="49" spans="1:80" x14ac:dyDescent="0.25">
      <c r="A49" s="26">
        <v>168</v>
      </c>
      <c r="B49" s="26" t="s">
        <v>5</v>
      </c>
      <c r="C49" s="26" t="s">
        <v>9</v>
      </c>
      <c r="D49" s="26" t="s">
        <v>18</v>
      </c>
      <c r="E49" s="1">
        <v>8</v>
      </c>
      <c r="F49" s="5">
        <v>58.38</v>
      </c>
      <c r="G49" s="1">
        <v>467.04</v>
      </c>
      <c r="H49" s="1">
        <v>101.29</v>
      </c>
      <c r="I49" s="1">
        <v>810.32</v>
      </c>
      <c r="J49" s="1">
        <v>343.28000000000003</v>
      </c>
      <c r="K49" s="5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M49" s="26"/>
      <c r="AN49" s="26"/>
      <c r="AO49" s="26"/>
      <c r="AP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6">
        <v>45205</v>
      </c>
      <c r="BN49" s="26" t="s">
        <v>45</v>
      </c>
      <c r="BO49" s="26" t="s">
        <v>172</v>
      </c>
      <c r="BP49" s="26" t="s">
        <v>91</v>
      </c>
      <c r="BQ49">
        <v>101.29</v>
      </c>
      <c r="BR49">
        <v>180.04</v>
      </c>
      <c r="BS49">
        <v>143.13999999999999</v>
      </c>
      <c r="BT49">
        <v>209.18</v>
      </c>
      <c r="BU49">
        <v>9.81</v>
      </c>
      <c r="BV49">
        <v>38.76</v>
      </c>
      <c r="BW49">
        <v>7.67</v>
      </c>
      <c r="BX49" s="26">
        <v>0</v>
      </c>
      <c r="BY49" s="26">
        <v>0</v>
      </c>
      <c r="BZ49">
        <v>8.7899999999999991</v>
      </c>
      <c r="CA49">
        <v>68.58</v>
      </c>
      <c r="CB49">
        <v>2.79</v>
      </c>
    </row>
    <row r="50" spans="1:80" x14ac:dyDescent="0.25">
      <c r="A50" s="26">
        <v>168</v>
      </c>
      <c r="B50" s="26" t="s">
        <v>5</v>
      </c>
      <c r="C50" s="26" t="s">
        <v>9</v>
      </c>
      <c r="D50" s="26" t="s">
        <v>19</v>
      </c>
      <c r="E50" s="1">
        <v>3.5</v>
      </c>
      <c r="F50" s="5">
        <v>116.76</v>
      </c>
      <c r="G50" s="1">
        <v>408.66</v>
      </c>
      <c r="H50" s="1">
        <v>143.13999999999999</v>
      </c>
      <c r="I50" s="1">
        <v>500.98999999999995</v>
      </c>
      <c r="J50" s="1">
        <v>92.329999999999927</v>
      </c>
      <c r="K50" s="5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M50" s="26"/>
      <c r="AN50" s="26"/>
      <c r="AO50" s="26"/>
      <c r="AP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6">
        <v>45205</v>
      </c>
      <c r="BN50" s="26" t="s">
        <v>45</v>
      </c>
      <c r="BO50" s="26" t="s">
        <v>172</v>
      </c>
      <c r="BP50" s="26" t="s">
        <v>91</v>
      </c>
      <c r="BQ50">
        <v>101.29</v>
      </c>
      <c r="BR50">
        <v>180.04</v>
      </c>
      <c r="BS50">
        <v>143.13999999999999</v>
      </c>
      <c r="BT50">
        <v>209.18</v>
      </c>
      <c r="BU50">
        <v>9.81</v>
      </c>
      <c r="BV50">
        <v>38.76</v>
      </c>
      <c r="BW50">
        <v>7.67</v>
      </c>
      <c r="BX50" s="26">
        <v>0</v>
      </c>
      <c r="BY50" s="26">
        <v>0</v>
      </c>
      <c r="BZ50">
        <v>8.7899999999999991</v>
      </c>
      <c r="CA50">
        <v>68.58</v>
      </c>
      <c r="CB50">
        <v>2.79</v>
      </c>
    </row>
    <row r="51" spans="1:80" x14ac:dyDescent="0.25">
      <c r="A51" s="26">
        <v>168</v>
      </c>
      <c r="B51" s="26" t="s">
        <v>15</v>
      </c>
      <c r="C51" s="26" t="s">
        <v>9</v>
      </c>
      <c r="D51" s="26" t="s">
        <v>22</v>
      </c>
      <c r="E51" s="1">
        <v>44.5</v>
      </c>
      <c r="F51" s="5">
        <v>7.6999999999999993</v>
      </c>
      <c r="G51" s="1">
        <v>342.65</v>
      </c>
      <c r="H51" s="1">
        <v>9.81</v>
      </c>
      <c r="I51" s="1">
        <v>436.54500000000002</v>
      </c>
      <c r="J51" s="1">
        <v>93.895000000000039</v>
      </c>
      <c r="K51" s="5" t="s">
        <v>135</v>
      </c>
      <c r="L51" s="26" t="s">
        <v>390</v>
      </c>
      <c r="M51" s="26" t="s">
        <v>435</v>
      </c>
      <c r="N51" s="26" t="s">
        <v>436</v>
      </c>
      <c r="O51" s="26" t="s">
        <v>437</v>
      </c>
      <c r="P51" s="26" t="s">
        <v>438</v>
      </c>
      <c r="Q51" s="26" t="s">
        <v>437</v>
      </c>
      <c r="R51" s="26" t="s">
        <v>439</v>
      </c>
      <c r="S51" s="26" t="s">
        <v>167</v>
      </c>
      <c r="T51" s="26" t="s">
        <v>440</v>
      </c>
      <c r="U51" s="26" t="s">
        <v>233</v>
      </c>
      <c r="V51" s="26" t="s">
        <v>368</v>
      </c>
      <c r="W51" s="26" t="s">
        <v>60</v>
      </c>
      <c r="X51" s="26" t="s">
        <v>60</v>
      </c>
      <c r="Y51" s="26" t="s">
        <v>76</v>
      </c>
      <c r="Z51" s="26" t="s">
        <v>56</v>
      </c>
      <c r="AA51" s="26" t="s">
        <v>60</v>
      </c>
      <c r="AB51" s="26" t="s">
        <v>60</v>
      </c>
      <c r="AC51" s="26" t="s">
        <v>60</v>
      </c>
      <c r="AD51" s="26" t="s">
        <v>60</v>
      </c>
      <c r="AE51" s="26" t="s">
        <v>60</v>
      </c>
      <c r="AF51" s="26" t="s">
        <v>60</v>
      </c>
      <c r="AG51" s="26" t="s">
        <v>60</v>
      </c>
      <c r="AH51" s="26" t="s">
        <v>60</v>
      </c>
      <c r="AI51" t="s">
        <v>133</v>
      </c>
      <c r="AJ51" t="s">
        <v>331</v>
      </c>
      <c r="AK51" t="s">
        <v>431</v>
      </c>
      <c r="AL51" t="s">
        <v>432</v>
      </c>
      <c r="AM51" s="26" t="s">
        <v>57</v>
      </c>
      <c r="AN51" s="26" t="s">
        <v>58</v>
      </c>
      <c r="AO51" s="26"/>
      <c r="AP51" s="26"/>
      <c r="AS51" s="26"/>
      <c r="AT51" s="26"/>
      <c r="AU51" s="26"/>
      <c r="AV51" s="26" t="s">
        <v>59</v>
      </c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/>
      <c r="BM51" s="6">
        <v>45207</v>
      </c>
      <c r="BN51" s="26" t="s">
        <v>45</v>
      </c>
      <c r="BO51" s="26" t="s">
        <v>172</v>
      </c>
      <c r="BP51" s="26" t="s">
        <v>91</v>
      </c>
      <c r="BQ51">
        <v>101.29</v>
      </c>
      <c r="BR51">
        <v>180.04</v>
      </c>
      <c r="BS51">
        <v>143.13999999999999</v>
      </c>
      <c r="BT51">
        <v>209.18</v>
      </c>
      <c r="BU51">
        <v>9.81</v>
      </c>
      <c r="BV51">
        <v>38.76</v>
      </c>
      <c r="BW51">
        <v>7.67</v>
      </c>
      <c r="BX51" s="26">
        <v>0</v>
      </c>
      <c r="BY51" s="26">
        <v>0</v>
      </c>
      <c r="BZ51">
        <v>8.7899999999999991</v>
      </c>
      <c r="CA51">
        <v>68.58</v>
      </c>
      <c r="CB51">
        <v>2.79</v>
      </c>
    </row>
    <row r="52" spans="1:80" x14ac:dyDescent="0.25">
      <c r="A52" s="26">
        <v>168</v>
      </c>
      <c r="B52" s="26" t="s">
        <v>15</v>
      </c>
      <c r="C52" s="26" t="s">
        <v>9</v>
      </c>
      <c r="D52" s="26" t="s">
        <v>13</v>
      </c>
      <c r="E52" s="1">
        <v>4</v>
      </c>
      <c r="F52" s="5">
        <v>36.090000000000003</v>
      </c>
      <c r="G52" s="1">
        <v>144.36000000000001</v>
      </c>
      <c r="H52" s="1">
        <v>38.76</v>
      </c>
      <c r="I52" s="1">
        <v>155.04</v>
      </c>
      <c r="J52" s="1">
        <v>10.679999999999978</v>
      </c>
      <c r="K52" s="5" t="s">
        <v>135</v>
      </c>
      <c r="L52" s="26" t="s">
        <v>390</v>
      </c>
      <c r="M52" s="26" t="s">
        <v>435</v>
      </c>
      <c r="N52" s="26" t="s">
        <v>436</v>
      </c>
      <c r="O52" s="26" t="s">
        <v>437</v>
      </c>
      <c r="P52" s="26" t="s">
        <v>438</v>
      </c>
      <c r="Q52" s="26" t="s">
        <v>437</v>
      </c>
      <c r="R52" s="26" t="s">
        <v>439</v>
      </c>
      <c r="S52" s="26" t="s">
        <v>167</v>
      </c>
      <c r="T52" s="26" t="s">
        <v>440</v>
      </c>
      <c r="U52" s="26" t="s">
        <v>233</v>
      </c>
      <c r="V52" s="26" t="s">
        <v>368</v>
      </c>
      <c r="W52" s="26" t="s">
        <v>60</v>
      </c>
      <c r="X52" s="26" t="s">
        <v>60</v>
      </c>
      <c r="Y52" s="26" t="s">
        <v>76</v>
      </c>
      <c r="Z52" s="26" t="s">
        <v>56</v>
      </c>
      <c r="AA52" s="26" t="s">
        <v>60</v>
      </c>
      <c r="AB52" s="26" t="s">
        <v>60</v>
      </c>
      <c r="AC52" s="26" t="s">
        <v>60</v>
      </c>
      <c r="AD52" s="26" t="s">
        <v>60</v>
      </c>
      <c r="AE52" s="26" t="s">
        <v>60</v>
      </c>
      <c r="AF52" s="26" t="s">
        <v>60</v>
      </c>
      <c r="AG52" s="26" t="s">
        <v>60</v>
      </c>
      <c r="AH52" s="26" t="s">
        <v>60</v>
      </c>
      <c r="AI52">
        <v>4</v>
      </c>
      <c r="AJ52">
        <v>144.36000000000001</v>
      </c>
      <c r="AK52" t="s">
        <v>431</v>
      </c>
      <c r="AL52" t="s">
        <v>432</v>
      </c>
      <c r="AM52" s="26" t="s">
        <v>57</v>
      </c>
      <c r="AN52" s="26" t="s">
        <v>58</v>
      </c>
      <c r="AO52" s="26" t="s">
        <v>60</v>
      </c>
      <c r="AP52" s="26" t="s">
        <v>60</v>
      </c>
      <c r="AQ52">
        <v>0</v>
      </c>
      <c r="AR52">
        <v>0</v>
      </c>
      <c r="AS52" s="26" t="s">
        <v>60</v>
      </c>
      <c r="AT52" s="26" t="s">
        <v>60</v>
      </c>
      <c r="AU52" s="26" t="s">
        <v>60</v>
      </c>
      <c r="AV52" s="26" t="s">
        <v>59</v>
      </c>
      <c r="AW52" s="26" t="s">
        <v>485</v>
      </c>
      <c r="AX52" s="26" t="s">
        <v>485</v>
      </c>
      <c r="AY52" s="26" t="s">
        <v>487</v>
      </c>
      <c r="AZ52" s="26" t="s">
        <v>488</v>
      </c>
      <c r="BA52" s="26" t="s">
        <v>486</v>
      </c>
      <c r="BB52" s="26" t="s">
        <v>489</v>
      </c>
      <c r="BC52" s="26"/>
      <c r="BD52" s="26"/>
      <c r="BE52" s="26"/>
      <c r="BF52" s="26"/>
      <c r="BG52" s="26"/>
      <c r="BH52" s="26"/>
      <c r="BI52" s="26"/>
      <c r="BJ52" s="26"/>
      <c r="BK52" s="26"/>
      <c r="BL52" s="26" t="s">
        <v>490</v>
      </c>
      <c r="BM52" s="6">
        <v>45207</v>
      </c>
      <c r="BN52" s="26" t="s">
        <v>45</v>
      </c>
      <c r="BO52" s="26" t="s">
        <v>172</v>
      </c>
      <c r="BP52" s="26" t="s">
        <v>91</v>
      </c>
      <c r="BQ52">
        <v>101.29</v>
      </c>
      <c r="BR52">
        <v>180.04</v>
      </c>
      <c r="BS52">
        <v>143.13999999999999</v>
      </c>
      <c r="BT52">
        <v>209.18</v>
      </c>
      <c r="BU52">
        <v>9.81</v>
      </c>
      <c r="BV52">
        <v>38.76</v>
      </c>
      <c r="BW52">
        <v>7.67</v>
      </c>
      <c r="BX52" s="26">
        <v>0</v>
      </c>
      <c r="BY52" s="26">
        <v>0</v>
      </c>
      <c r="BZ52">
        <v>8.7899999999999991</v>
      </c>
      <c r="CA52">
        <v>68.58</v>
      </c>
      <c r="CB52">
        <v>2.79</v>
      </c>
    </row>
    <row r="53" spans="1:80" x14ac:dyDescent="0.25">
      <c r="A53" s="26">
        <v>168</v>
      </c>
      <c r="B53" s="26" t="s">
        <v>15</v>
      </c>
      <c r="C53" s="26" t="s">
        <v>9</v>
      </c>
      <c r="D53" s="26" t="s">
        <v>25</v>
      </c>
      <c r="E53" s="1">
        <v>5</v>
      </c>
      <c r="F53" s="5">
        <v>55</v>
      </c>
      <c r="G53" s="1">
        <v>275</v>
      </c>
      <c r="H53" s="1">
        <v>68.58</v>
      </c>
      <c r="I53" s="1">
        <v>342.9</v>
      </c>
      <c r="J53" s="1">
        <v>67.899999999999977</v>
      </c>
      <c r="K53" s="5" t="s">
        <v>135</v>
      </c>
      <c r="L53" s="26" t="s">
        <v>390</v>
      </c>
      <c r="M53" s="26" t="s">
        <v>435</v>
      </c>
      <c r="N53" s="26" t="s">
        <v>436</v>
      </c>
      <c r="O53" s="26" t="s">
        <v>437</v>
      </c>
      <c r="P53" s="26" t="s">
        <v>438</v>
      </c>
      <c r="Q53" s="26" t="s">
        <v>437</v>
      </c>
      <c r="R53" s="26" t="s">
        <v>439</v>
      </c>
      <c r="S53" s="26" t="s">
        <v>167</v>
      </c>
      <c r="T53" s="26" t="s">
        <v>440</v>
      </c>
      <c r="U53" s="26" t="s">
        <v>233</v>
      </c>
      <c r="V53" s="26" t="s">
        <v>368</v>
      </c>
      <c r="W53" s="26" t="s">
        <v>60</v>
      </c>
      <c r="X53" s="26" t="s">
        <v>60</v>
      </c>
      <c r="Y53" s="26" t="s">
        <v>76</v>
      </c>
      <c r="Z53" s="26" t="s">
        <v>56</v>
      </c>
      <c r="AA53" s="26" t="s">
        <v>60</v>
      </c>
      <c r="AB53" s="26" t="s">
        <v>60</v>
      </c>
      <c r="AC53" s="26" t="s">
        <v>60</v>
      </c>
      <c r="AD53" s="26" t="s">
        <v>60</v>
      </c>
      <c r="AE53" s="26" t="s">
        <v>60</v>
      </c>
      <c r="AF53" s="26" t="s">
        <v>60</v>
      </c>
      <c r="AG53" s="26" t="s">
        <v>60</v>
      </c>
      <c r="AH53" s="26" t="s">
        <v>60</v>
      </c>
      <c r="AI53" t="s">
        <v>133</v>
      </c>
      <c r="AJ53" t="s">
        <v>331</v>
      </c>
      <c r="AK53">
        <v>5</v>
      </c>
      <c r="AL53">
        <v>275</v>
      </c>
      <c r="AM53" s="26" t="s">
        <v>57</v>
      </c>
      <c r="AN53" s="26" t="s">
        <v>58</v>
      </c>
      <c r="AO53" s="26">
        <v>0</v>
      </c>
      <c r="AP53" s="26">
        <v>0</v>
      </c>
      <c r="AQ53" t="s">
        <v>60</v>
      </c>
      <c r="AR53" t="s">
        <v>60</v>
      </c>
      <c r="AS53" s="26" t="s">
        <v>60</v>
      </c>
      <c r="AT53" s="26" t="s">
        <v>60</v>
      </c>
      <c r="AU53" s="26" t="s">
        <v>60</v>
      </c>
      <c r="AV53" s="26" t="s">
        <v>59</v>
      </c>
      <c r="AW53" s="26" t="s">
        <v>485</v>
      </c>
      <c r="AX53" s="26" t="s">
        <v>485</v>
      </c>
      <c r="AY53" s="26" t="s">
        <v>487</v>
      </c>
      <c r="AZ53" s="26" t="s">
        <v>488</v>
      </c>
      <c r="BA53" s="26" t="s">
        <v>486</v>
      </c>
      <c r="BB53" s="26" t="s">
        <v>489</v>
      </c>
      <c r="BC53" s="26" t="s">
        <v>121</v>
      </c>
      <c r="BD53" s="26" t="s">
        <v>562</v>
      </c>
      <c r="BE53" s="26" t="s">
        <v>60</v>
      </c>
      <c r="BF53" s="26" t="s">
        <v>60</v>
      </c>
      <c r="BG53" s="26" t="s">
        <v>60</v>
      </c>
      <c r="BH53" s="26" t="s">
        <v>60</v>
      </c>
      <c r="BI53" s="26" t="s">
        <v>60</v>
      </c>
      <c r="BJ53" s="26" t="s">
        <v>60</v>
      </c>
      <c r="BK53" s="26" t="s">
        <v>60</v>
      </c>
      <c r="BL53" s="26" t="s">
        <v>490</v>
      </c>
      <c r="BM53" s="6">
        <v>45207</v>
      </c>
      <c r="BN53" s="26" t="s">
        <v>45</v>
      </c>
      <c r="BO53" s="26" t="s">
        <v>172</v>
      </c>
      <c r="BP53" s="26" t="s">
        <v>91</v>
      </c>
      <c r="BQ53">
        <v>101.29</v>
      </c>
      <c r="BR53">
        <v>180.04</v>
      </c>
      <c r="BS53">
        <v>143.13999999999999</v>
      </c>
      <c r="BT53">
        <v>209.18</v>
      </c>
      <c r="BU53">
        <v>9.81</v>
      </c>
      <c r="BV53">
        <v>38.76</v>
      </c>
      <c r="BW53">
        <v>7.67</v>
      </c>
      <c r="BX53" s="26">
        <v>0</v>
      </c>
      <c r="BY53" s="26">
        <v>0</v>
      </c>
      <c r="BZ53">
        <v>8.7899999999999991</v>
      </c>
      <c r="CA53">
        <v>68.58</v>
      </c>
      <c r="CB53">
        <v>2.79</v>
      </c>
    </row>
    <row r="54" spans="1:80" x14ac:dyDescent="0.25">
      <c r="A54" s="26">
        <v>665</v>
      </c>
      <c r="B54" s="26" t="s">
        <v>3</v>
      </c>
      <c r="C54" s="26" t="s">
        <v>217</v>
      </c>
      <c r="D54" s="26" t="s">
        <v>19</v>
      </c>
      <c r="E54" s="1">
        <v>4</v>
      </c>
      <c r="F54" s="5">
        <v>144.018</v>
      </c>
      <c r="G54" s="1">
        <v>576.07000000000005</v>
      </c>
      <c r="H54" s="1">
        <v>187.9</v>
      </c>
      <c r="I54" s="1">
        <v>751.6</v>
      </c>
      <c r="J54" s="1">
        <v>175.52999999999997</v>
      </c>
      <c r="K54" s="5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M54" s="26"/>
      <c r="AN54" s="26"/>
      <c r="AO54" s="26"/>
      <c r="AP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6">
        <v>45201</v>
      </c>
      <c r="BN54" s="26" t="s">
        <v>221</v>
      </c>
      <c r="BO54" s="26" t="s">
        <v>221</v>
      </c>
      <c r="BP54" s="26" t="s">
        <v>215</v>
      </c>
      <c r="BQ54">
        <v>126.68</v>
      </c>
      <c r="BR54">
        <v>219.58</v>
      </c>
      <c r="BS54">
        <v>187.9</v>
      </c>
      <c r="BT54">
        <v>295.27999999999997</v>
      </c>
      <c r="BU54">
        <v>6.31</v>
      </c>
      <c r="BV54">
        <v>35.43</v>
      </c>
      <c r="BW54">
        <v>8.34</v>
      </c>
      <c r="BX54" s="26">
        <v>0</v>
      </c>
      <c r="BY54" s="26">
        <v>74.849999999999994</v>
      </c>
      <c r="BZ54">
        <v>9.5500000000000007</v>
      </c>
      <c r="CA54">
        <v>73.33</v>
      </c>
      <c r="CB54">
        <v>0</v>
      </c>
    </row>
    <row r="55" spans="1:80" x14ac:dyDescent="0.25">
      <c r="A55" s="26">
        <v>665</v>
      </c>
      <c r="B55" s="26" t="s">
        <v>3</v>
      </c>
      <c r="C55" s="26" t="s">
        <v>217</v>
      </c>
      <c r="D55" s="26" t="s">
        <v>21</v>
      </c>
      <c r="E55" s="1">
        <v>8</v>
      </c>
      <c r="F55" s="5">
        <v>144.018</v>
      </c>
      <c r="G55" s="1">
        <v>1152.1400000000001</v>
      </c>
      <c r="H55" s="1">
        <v>219.58</v>
      </c>
      <c r="I55" s="1">
        <v>1756.64</v>
      </c>
      <c r="J55" s="1">
        <v>604.5</v>
      </c>
      <c r="K55" s="5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M55" s="26"/>
      <c r="AN55" s="26"/>
      <c r="AO55" s="26"/>
      <c r="AP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6">
        <v>45201</v>
      </c>
      <c r="BN55" s="26" t="s">
        <v>221</v>
      </c>
      <c r="BO55" s="26" t="s">
        <v>221</v>
      </c>
      <c r="BP55" s="26" t="s">
        <v>215</v>
      </c>
      <c r="BQ55">
        <v>126.68</v>
      </c>
      <c r="BR55">
        <v>219.58</v>
      </c>
      <c r="BS55">
        <v>187.9</v>
      </c>
      <c r="BT55">
        <v>295.27999999999997</v>
      </c>
      <c r="BU55">
        <v>6.31</v>
      </c>
      <c r="BV55">
        <v>35.43</v>
      </c>
      <c r="BW55">
        <v>8.34</v>
      </c>
      <c r="BX55" s="26">
        <v>0</v>
      </c>
      <c r="BY55" s="26">
        <v>74.849999999999994</v>
      </c>
      <c r="BZ55">
        <v>9.5500000000000007</v>
      </c>
      <c r="CA55">
        <v>73.33</v>
      </c>
      <c r="CB55">
        <v>0</v>
      </c>
    </row>
    <row r="56" spans="1:80" x14ac:dyDescent="0.25">
      <c r="A56" s="26">
        <v>665</v>
      </c>
      <c r="B56" s="26" t="s">
        <v>3</v>
      </c>
      <c r="C56" s="26" t="s">
        <v>217</v>
      </c>
      <c r="D56" s="26" t="s">
        <v>18</v>
      </c>
      <c r="E56" s="1">
        <v>8</v>
      </c>
      <c r="F56" s="5">
        <v>80.010000000000005</v>
      </c>
      <c r="G56" s="1">
        <v>640.08000000000004</v>
      </c>
      <c r="H56" s="1">
        <v>126.68</v>
      </c>
      <c r="I56" s="1">
        <v>1013.44</v>
      </c>
      <c r="J56" s="1">
        <v>373.36</v>
      </c>
      <c r="K56" s="5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M56" s="26"/>
      <c r="AN56" s="26"/>
      <c r="AO56" s="26"/>
      <c r="AP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6">
        <v>45205</v>
      </c>
      <c r="BN56" s="26" t="s">
        <v>221</v>
      </c>
      <c r="BO56" s="26" t="s">
        <v>221</v>
      </c>
      <c r="BP56" s="26" t="s">
        <v>215</v>
      </c>
      <c r="BQ56">
        <v>126.68</v>
      </c>
      <c r="BR56">
        <v>219.58</v>
      </c>
      <c r="BS56">
        <v>187.9</v>
      </c>
      <c r="BT56">
        <v>295.27999999999997</v>
      </c>
      <c r="BU56">
        <v>6.31</v>
      </c>
      <c r="BV56">
        <v>35.43</v>
      </c>
      <c r="BW56">
        <v>8.34</v>
      </c>
      <c r="BX56" s="26">
        <v>0</v>
      </c>
      <c r="BY56" s="26">
        <v>74.849999999999994</v>
      </c>
      <c r="BZ56">
        <v>9.5500000000000007</v>
      </c>
      <c r="CA56">
        <v>73.33</v>
      </c>
      <c r="CB56">
        <v>0</v>
      </c>
    </row>
    <row r="57" spans="1:80" x14ac:dyDescent="0.25">
      <c r="A57" s="26">
        <v>665</v>
      </c>
      <c r="B57" s="26" t="s">
        <v>3</v>
      </c>
      <c r="C57" s="26" t="s">
        <v>217</v>
      </c>
      <c r="D57" s="26" t="s">
        <v>19</v>
      </c>
      <c r="E57" s="1">
        <v>4</v>
      </c>
      <c r="F57" s="5">
        <v>144.018</v>
      </c>
      <c r="G57" s="1">
        <v>576.07000000000005</v>
      </c>
      <c r="H57" s="1">
        <v>187.9</v>
      </c>
      <c r="I57" s="1">
        <v>751.6</v>
      </c>
      <c r="J57" s="1">
        <v>175.52999999999997</v>
      </c>
      <c r="K57" s="5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M57" s="26"/>
      <c r="AN57" s="26"/>
      <c r="AO57" s="26"/>
      <c r="AP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6">
        <v>45205</v>
      </c>
      <c r="BN57" s="26" t="s">
        <v>221</v>
      </c>
      <c r="BO57" s="26" t="s">
        <v>221</v>
      </c>
      <c r="BP57" s="26" t="s">
        <v>215</v>
      </c>
      <c r="BQ57">
        <v>126.68</v>
      </c>
      <c r="BR57">
        <v>219.58</v>
      </c>
      <c r="BS57">
        <v>187.9</v>
      </c>
      <c r="BT57">
        <v>295.27999999999997</v>
      </c>
      <c r="BU57">
        <v>6.31</v>
      </c>
      <c r="BV57">
        <v>35.43</v>
      </c>
      <c r="BW57">
        <v>8.34</v>
      </c>
      <c r="BX57" s="26">
        <v>0</v>
      </c>
      <c r="BY57" s="26">
        <v>74.849999999999994</v>
      </c>
      <c r="BZ57">
        <v>9.5500000000000007</v>
      </c>
      <c r="CA57">
        <v>73.33</v>
      </c>
      <c r="CB57">
        <v>0</v>
      </c>
    </row>
    <row r="58" spans="1:80" x14ac:dyDescent="0.25">
      <c r="A58" s="26">
        <v>665</v>
      </c>
      <c r="B58" s="26" t="s">
        <v>3</v>
      </c>
      <c r="C58" s="26" t="s">
        <v>217</v>
      </c>
      <c r="D58" s="26" t="s">
        <v>21</v>
      </c>
      <c r="E58" s="1">
        <v>12</v>
      </c>
      <c r="F58" s="5">
        <v>144.018</v>
      </c>
      <c r="G58" s="1">
        <v>1728.22</v>
      </c>
      <c r="H58" s="1">
        <v>219.58</v>
      </c>
      <c r="I58" s="1">
        <v>2634.96</v>
      </c>
      <c r="J58" s="1">
        <v>906.74</v>
      </c>
      <c r="K58" s="5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M58" s="26"/>
      <c r="AN58" s="26"/>
      <c r="AO58" s="26"/>
      <c r="AP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6">
        <v>45206</v>
      </c>
      <c r="BN58" s="26" t="s">
        <v>221</v>
      </c>
      <c r="BO58" s="26" t="s">
        <v>221</v>
      </c>
      <c r="BP58" s="26" t="s">
        <v>215</v>
      </c>
      <c r="BQ58">
        <v>126.68</v>
      </c>
      <c r="BR58">
        <v>219.58</v>
      </c>
      <c r="BS58">
        <v>187.9</v>
      </c>
      <c r="BT58">
        <v>295.27999999999997</v>
      </c>
      <c r="BU58">
        <v>6.31</v>
      </c>
      <c r="BV58">
        <v>35.43</v>
      </c>
      <c r="BW58">
        <v>8.34</v>
      </c>
      <c r="BX58" s="26">
        <v>0</v>
      </c>
      <c r="BY58" s="26">
        <v>74.849999999999994</v>
      </c>
      <c r="BZ58">
        <v>9.5500000000000007</v>
      </c>
      <c r="CA58">
        <v>73.33</v>
      </c>
      <c r="CB58">
        <v>0</v>
      </c>
    </row>
    <row r="59" spans="1:80" x14ac:dyDescent="0.25">
      <c r="A59" s="26">
        <v>665</v>
      </c>
      <c r="B59" s="26" t="s">
        <v>3</v>
      </c>
      <c r="C59" s="26" t="s">
        <v>217</v>
      </c>
      <c r="D59" s="26" t="s">
        <v>21</v>
      </c>
      <c r="E59" s="1">
        <v>12</v>
      </c>
      <c r="F59" s="5">
        <v>144.018</v>
      </c>
      <c r="G59" s="1">
        <v>1728.22</v>
      </c>
      <c r="H59" s="1">
        <v>219.58</v>
      </c>
      <c r="I59" s="1">
        <v>2634.96</v>
      </c>
      <c r="J59" s="1">
        <v>906.74</v>
      </c>
      <c r="K59" s="5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M59" s="26"/>
      <c r="AN59" s="26"/>
      <c r="AO59" s="26"/>
      <c r="AP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6">
        <v>45207</v>
      </c>
      <c r="BN59" s="26" t="s">
        <v>221</v>
      </c>
      <c r="BO59" s="26" t="s">
        <v>221</v>
      </c>
      <c r="BP59" s="26" t="s">
        <v>215</v>
      </c>
      <c r="BQ59">
        <v>126.68</v>
      </c>
      <c r="BR59">
        <v>219.58</v>
      </c>
      <c r="BS59">
        <v>187.9</v>
      </c>
      <c r="BT59">
        <v>295.27999999999997</v>
      </c>
      <c r="BU59">
        <v>6.31</v>
      </c>
      <c r="BV59">
        <v>35.43</v>
      </c>
      <c r="BW59">
        <v>8.34</v>
      </c>
      <c r="BX59" s="26">
        <v>0</v>
      </c>
      <c r="BY59" s="26">
        <v>74.849999999999994</v>
      </c>
      <c r="BZ59">
        <v>9.5500000000000007</v>
      </c>
      <c r="CA59">
        <v>73.33</v>
      </c>
      <c r="CB59">
        <v>0</v>
      </c>
    </row>
    <row r="60" spans="1:80" x14ac:dyDescent="0.25">
      <c r="A60" s="26">
        <v>665</v>
      </c>
      <c r="B60" s="26" t="s">
        <v>64</v>
      </c>
      <c r="C60" s="26" t="s">
        <v>217</v>
      </c>
      <c r="D60" s="26" t="s">
        <v>22</v>
      </c>
      <c r="E60" s="1">
        <v>48</v>
      </c>
      <c r="F60" s="5">
        <v>4.55</v>
      </c>
      <c r="G60" s="1">
        <v>218.4</v>
      </c>
      <c r="H60" s="1">
        <v>6.31</v>
      </c>
      <c r="I60" s="1">
        <v>302.88</v>
      </c>
      <c r="J60" s="1">
        <v>84.47999999999999</v>
      </c>
      <c r="K60" s="5" t="s">
        <v>90</v>
      </c>
      <c r="L60" s="26" t="s">
        <v>441</v>
      </c>
      <c r="M60" s="26" t="s">
        <v>60</v>
      </c>
      <c r="N60" s="26" t="s">
        <v>60</v>
      </c>
      <c r="O60" s="26" t="s">
        <v>60</v>
      </c>
      <c r="P60" s="26" t="s">
        <v>60</v>
      </c>
      <c r="Q60" s="26" t="s">
        <v>60</v>
      </c>
      <c r="R60" s="26" t="s">
        <v>60</v>
      </c>
      <c r="S60" s="26" t="s">
        <v>90</v>
      </c>
      <c r="T60" s="26" t="s">
        <v>441</v>
      </c>
      <c r="U60" s="26" t="s">
        <v>424</v>
      </c>
      <c r="V60" s="26" t="s">
        <v>425</v>
      </c>
      <c r="W60" s="26" t="s">
        <v>60</v>
      </c>
      <c r="X60" s="26" t="s">
        <v>60</v>
      </c>
      <c r="Y60" s="26" t="s">
        <v>55</v>
      </c>
      <c r="Z60" s="26" t="s">
        <v>56</v>
      </c>
      <c r="AA60" s="26" t="s">
        <v>90</v>
      </c>
      <c r="AB60" s="26" t="s">
        <v>442</v>
      </c>
      <c r="AC60" s="26" t="s">
        <v>135</v>
      </c>
      <c r="AD60" s="26" t="s">
        <v>294</v>
      </c>
      <c r="AE60" s="26" t="s">
        <v>60</v>
      </c>
      <c r="AF60" s="26" t="s">
        <v>60</v>
      </c>
      <c r="AG60" s="26" t="s">
        <v>60</v>
      </c>
      <c r="AH60" s="26" t="s">
        <v>60</v>
      </c>
      <c r="AI60" t="s">
        <v>60</v>
      </c>
      <c r="AJ60" t="s">
        <v>60</v>
      </c>
      <c r="AK60" t="s">
        <v>60</v>
      </c>
      <c r="AL60" t="s">
        <v>60</v>
      </c>
      <c r="AM60" s="26" t="s">
        <v>57</v>
      </c>
      <c r="AN60" s="26" t="s">
        <v>58</v>
      </c>
      <c r="AO60" s="26"/>
      <c r="AP60" s="26"/>
      <c r="AS60" s="26"/>
      <c r="AT60" s="26"/>
      <c r="AU60" s="26"/>
      <c r="AV60" s="26" t="s">
        <v>59</v>
      </c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6">
        <v>45207</v>
      </c>
      <c r="BN60" s="26" t="s">
        <v>221</v>
      </c>
      <c r="BO60" s="26" t="s">
        <v>221</v>
      </c>
      <c r="BP60" s="26" t="s">
        <v>215</v>
      </c>
      <c r="BQ60">
        <v>126.68</v>
      </c>
      <c r="BR60">
        <v>219.58</v>
      </c>
      <c r="BS60">
        <v>187.9</v>
      </c>
      <c r="BT60">
        <v>295.27999999999997</v>
      </c>
      <c r="BU60">
        <v>6.31</v>
      </c>
      <c r="BV60">
        <v>35.43</v>
      </c>
      <c r="BW60">
        <v>8.34</v>
      </c>
      <c r="BX60" s="26">
        <v>0</v>
      </c>
      <c r="BY60" s="26">
        <v>74.849999999999994</v>
      </c>
      <c r="BZ60">
        <v>9.5500000000000007</v>
      </c>
      <c r="CA60">
        <v>73.33</v>
      </c>
      <c r="CB60">
        <v>0</v>
      </c>
    </row>
    <row r="61" spans="1:80" x14ac:dyDescent="0.25">
      <c r="A61" s="26">
        <v>665</v>
      </c>
      <c r="B61" s="26" t="s">
        <v>64</v>
      </c>
      <c r="C61" s="26" t="s">
        <v>217</v>
      </c>
      <c r="D61" s="26" t="s">
        <v>13</v>
      </c>
      <c r="E61" s="1">
        <v>4</v>
      </c>
      <c r="F61" s="5">
        <v>30.72</v>
      </c>
      <c r="G61" s="1">
        <v>122.88</v>
      </c>
      <c r="H61" s="1">
        <v>35.43</v>
      </c>
      <c r="I61" s="1">
        <v>141.72</v>
      </c>
      <c r="J61" s="1">
        <v>18.840000000000003</v>
      </c>
      <c r="K61" s="5" t="s">
        <v>90</v>
      </c>
      <c r="L61" s="26" t="s">
        <v>441</v>
      </c>
      <c r="M61" s="26" t="s">
        <v>60</v>
      </c>
      <c r="N61" s="26" t="s">
        <v>60</v>
      </c>
      <c r="O61" s="26" t="s">
        <v>60</v>
      </c>
      <c r="P61" s="26" t="s">
        <v>60</v>
      </c>
      <c r="Q61" s="26" t="s">
        <v>60</v>
      </c>
      <c r="R61" s="26" t="s">
        <v>60</v>
      </c>
      <c r="S61" s="26" t="s">
        <v>90</v>
      </c>
      <c r="T61" s="26" t="s">
        <v>441</v>
      </c>
      <c r="U61" s="26" t="s">
        <v>424</v>
      </c>
      <c r="V61" s="26" t="s">
        <v>425</v>
      </c>
      <c r="W61" s="26" t="s">
        <v>60</v>
      </c>
      <c r="X61" s="26" t="s">
        <v>60</v>
      </c>
      <c r="Y61" s="26" t="s">
        <v>55</v>
      </c>
      <c r="Z61" s="26" t="s">
        <v>56</v>
      </c>
      <c r="AA61" s="26" t="s">
        <v>90</v>
      </c>
      <c r="AB61" s="26" t="s">
        <v>442</v>
      </c>
      <c r="AC61" s="26" t="s">
        <v>135</v>
      </c>
      <c r="AD61" s="26" t="s">
        <v>294</v>
      </c>
      <c r="AE61" s="26" t="s">
        <v>60</v>
      </c>
      <c r="AF61" s="26" t="s">
        <v>60</v>
      </c>
      <c r="AG61" s="26" t="s">
        <v>60</v>
      </c>
      <c r="AH61" s="26" t="s">
        <v>60</v>
      </c>
      <c r="AI61">
        <v>0</v>
      </c>
      <c r="AJ61">
        <v>0</v>
      </c>
      <c r="AK61" t="s">
        <v>60</v>
      </c>
      <c r="AL61" t="s">
        <v>60</v>
      </c>
      <c r="AM61" s="26" t="s">
        <v>57</v>
      </c>
      <c r="AN61" s="26" t="s">
        <v>58</v>
      </c>
      <c r="AO61" s="26" t="s">
        <v>431</v>
      </c>
      <c r="AP61" s="26" t="s">
        <v>491</v>
      </c>
      <c r="AQ61">
        <v>4</v>
      </c>
      <c r="AR61">
        <v>122.88</v>
      </c>
      <c r="AS61" s="26" t="s">
        <v>60</v>
      </c>
      <c r="AT61" s="26" t="s">
        <v>394</v>
      </c>
      <c r="AU61" s="26" t="s">
        <v>60</v>
      </c>
      <c r="AV61" s="26" t="s">
        <v>59</v>
      </c>
      <c r="AW61" s="26" t="s">
        <v>492</v>
      </c>
      <c r="AX61" s="26" t="s">
        <v>492</v>
      </c>
      <c r="AY61" s="26" t="s">
        <v>494</v>
      </c>
      <c r="AZ61" s="26" t="s">
        <v>495</v>
      </c>
      <c r="BA61" s="26" t="s">
        <v>493</v>
      </c>
      <c r="BB61" s="26" t="s">
        <v>191</v>
      </c>
      <c r="BC61" s="26"/>
      <c r="BD61" s="26"/>
      <c r="BE61" s="26"/>
      <c r="BF61" s="26"/>
      <c r="BG61" s="26"/>
      <c r="BH61" s="26"/>
      <c r="BI61" s="26"/>
      <c r="BJ61" s="26"/>
      <c r="BK61" s="26"/>
      <c r="BL61" s="26" t="s">
        <v>307</v>
      </c>
      <c r="BM61" s="6">
        <v>45207</v>
      </c>
      <c r="BN61" s="26" t="s">
        <v>221</v>
      </c>
      <c r="BO61" s="26" t="s">
        <v>221</v>
      </c>
      <c r="BP61" s="26" t="s">
        <v>215</v>
      </c>
      <c r="BQ61">
        <v>126.68</v>
      </c>
      <c r="BR61">
        <v>219.58</v>
      </c>
      <c r="BS61">
        <v>187.9</v>
      </c>
      <c r="BT61">
        <v>295.27999999999997</v>
      </c>
      <c r="BU61">
        <v>6.31</v>
      </c>
      <c r="BV61">
        <v>35.43</v>
      </c>
      <c r="BW61">
        <v>8.34</v>
      </c>
      <c r="BX61" s="26">
        <v>0</v>
      </c>
      <c r="BY61" s="26">
        <v>74.849999999999994</v>
      </c>
      <c r="BZ61">
        <v>9.5500000000000007</v>
      </c>
      <c r="CA61">
        <v>73.33</v>
      </c>
      <c r="CB61">
        <v>0</v>
      </c>
    </row>
    <row r="62" spans="1:80" x14ac:dyDescent="0.25">
      <c r="A62" s="26">
        <v>665</v>
      </c>
      <c r="B62" s="26" t="s">
        <v>64</v>
      </c>
      <c r="C62" s="26" t="s">
        <v>217</v>
      </c>
      <c r="D62" s="26" t="s">
        <v>25</v>
      </c>
      <c r="E62" s="1">
        <v>5</v>
      </c>
      <c r="F62" s="5">
        <v>52.9</v>
      </c>
      <c r="G62" s="1">
        <v>264.5</v>
      </c>
      <c r="H62" s="1">
        <v>73.33</v>
      </c>
      <c r="I62" s="1">
        <v>366.65</v>
      </c>
      <c r="J62" s="1">
        <v>102.14999999999998</v>
      </c>
      <c r="K62" s="5" t="s">
        <v>90</v>
      </c>
      <c r="L62" s="26" t="s">
        <v>441</v>
      </c>
      <c r="M62" s="26" t="s">
        <v>60</v>
      </c>
      <c r="N62" s="26" t="s">
        <v>60</v>
      </c>
      <c r="O62" s="26" t="s">
        <v>60</v>
      </c>
      <c r="P62" s="26" t="s">
        <v>60</v>
      </c>
      <c r="Q62" s="26" t="s">
        <v>60</v>
      </c>
      <c r="R62" s="26" t="s">
        <v>60</v>
      </c>
      <c r="S62" s="26" t="s">
        <v>90</v>
      </c>
      <c r="T62" s="26" t="s">
        <v>441</v>
      </c>
      <c r="U62" s="26" t="s">
        <v>424</v>
      </c>
      <c r="V62" s="26" t="s">
        <v>425</v>
      </c>
      <c r="W62" s="26" t="s">
        <v>60</v>
      </c>
      <c r="X62" s="26" t="s">
        <v>60</v>
      </c>
      <c r="Y62" s="26" t="s">
        <v>55</v>
      </c>
      <c r="Z62" s="26" t="s">
        <v>56</v>
      </c>
      <c r="AA62" s="26" t="s">
        <v>90</v>
      </c>
      <c r="AB62" s="26" t="s">
        <v>442</v>
      </c>
      <c r="AC62" s="26" t="s">
        <v>135</v>
      </c>
      <c r="AD62" s="26" t="s">
        <v>294</v>
      </c>
      <c r="AE62" s="26" t="s">
        <v>60</v>
      </c>
      <c r="AF62" s="26" t="s">
        <v>60</v>
      </c>
      <c r="AG62" s="26" t="s">
        <v>60</v>
      </c>
      <c r="AH62" s="26" t="s">
        <v>60</v>
      </c>
      <c r="AI62" t="s">
        <v>60</v>
      </c>
      <c r="AJ62" t="s">
        <v>60</v>
      </c>
      <c r="AK62">
        <v>0</v>
      </c>
      <c r="AL62">
        <v>0</v>
      </c>
      <c r="AM62" s="26" t="s">
        <v>57</v>
      </c>
      <c r="AN62" s="26" t="s">
        <v>58</v>
      </c>
      <c r="AO62" s="26">
        <v>5</v>
      </c>
      <c r="AP62" s="26">
        <v>264.5</v>
      </c>
      <c r="AQ62" t="s">
        <v>133</v>
      </c>
      <c r="AR62" t="s">
        <v>305</v>
      </c>
      <c r="AS62" s="26" t="s">
        <v>60</v>
      </c>
      <c r="AT62" s="26" t="s">
        <v>394</v>
      </c>
      <c r="AU62" s="26" t="s">
        <v>60</v>
      </c>
      <c r="AV62" s="26" t="s">
        <v>59</v>
      </c>
      <c r="AW62" s="26" t="s">
        <v>492</v>
      </c>
      <c r="AX62" s="26" t="s">
        <v>492</v>
      </c>
      <c r="AY62" s="26" t="s">
        <v>494</v>
      </c>
      <c r="AZ62" s="26" t="s">
        <v>495</v>
      </c>
      <c r="BA62" s="26" t="s">
        <v>493</v>
      </c>
      <c r="BB62" s="26" t="s">
        <v>191</v>
      </c>
      <c r="BC62" s="26" t="s">
        <v>60</v>
      </c>
      <c r="BD62" s="26" t="s">
        <v>60</v>
      </c>
      <c r="BE62" s="26" t="s">
        <v>304</v>
      </c>
      <c r="BF62" s="26" t="s">
        <v>239</v>
      </c>
      <c r="BG62" s="26" t="s">
        <v>559</v>
      </c>
      <c r="BH62" s="26" t="s">
        <v>60</v>
      </c>
      <c r="BI62" s="26" t="s">
        <v>60</v>
      </c>
      <c r="BJ62" s="26" t="s">
        <v>60</v>
      </c>
      <c r="BK62" s="26" t="s">
        <v>60</v>
      </c>
      <c r="BL62" s="26" t="s">
        <v>307</v>
      </c>
      <c r="BM62" s="6">
        <v>45207</v>
      </c>
      <c r="BN62" s="26" t="s">
        <v>221</v>
      </c>
      <c r="BO62" s="26" t="s">
        <v>221</v>
      </c>
      <c r="BP62" s="26" t="s">
        <v>215</v>
      </c>
      <c r="BQ62">
        <v>126.68</v>
      </c>
      <c r="BR62">
        <v>219.58</v>
      </c>
      <c r="BS62">
        <v>187.9</v>
      </c>
      <c r="BT62">
        <v>295.27999999999997</v>
      </c>
      <c r="BU62">
        <v>6.31</v>
      </c>
      <c r="BV62">
        <v>35.43</v>
      </c>
      <c r="BW62">
        <v>8.34</v>
      </c>
      <c r="BX62" s="26">
        <v>0</v>
      </c>
      <c r="BY62" s="26">
        <v>74.849999999999994</v>
      </c>
      <c r="BZ62">
        <v>9.5500000000000007</v>
      </c>
      <c r="CA62">
        <v>73.33</v>
      </c>
      <c r="CB62">
        <v>0</v>
      </c>
    </row>
    <row r="63" spans="1:80" x14ac:dyDescent="0.25">
      <c r="A63" s="26">
        <v>736</v>
      </c>
      <c r="B63" s="26" t="s">
        <v>77</v>
      </c>
      <c r="C63" s="26" t="s">
        <v>78</v>
      </c>
      <c r="D63" s="26" t="s">
        <v>18</v>
      </c>
      <c r="E63" s="1">
        <v>7.5</v>
      </c>
      <c r="F63" s="5">
        <v>84.4</v>
      </c>
      <c r="G63" s="1">
        <v>633</v>
      </c>
      <c r="H63" s="1">
        <v>123.63</v>
      </c>
      <c r="I63" s="1">
        <v>927.22499999999991</v>
      </c>
      <c r="J63" s="1">
        <v>294.22499999999991</v>
      </c>
      <c r="K63" s="5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M63" s="26"/>
      <c r="AN63" s="26"/>
      <c r="AO63" s="26"/>
      <c r="AP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6">
        <v>45202</v>
      </c>
      <c r="BN63" s="26" t="s">
        <v>45</v>
      </c>
      <c r="BO63" s="26" t="s">
        <v>267</v>
      </c>
      <c r="BP63" s="26" t="s">
        <v>28</v>
      </c>
      <c r="BQ63">
        <v>123.63</v>
      </c>
      <c r="BR63">
        <v>237.48</v>
      </c>
      <c r="BS63">
        <v>206.93</v>
      </c>
      <c r="BT63">
        <v>299.92</v>
      </c>
      <c r="BU63">
        <v>9.81</v>
      </c>
      <c r="BV63">
        <v>38.76</v>
      </c>
      <c r="BW63">
        <v>7.67</v>
      </c>
      <c r="BX63" s="26">
        <v>0</v>
      </c>
      <c r="BY63" s="26">
        <v>0</v>
      </c>
      <c r="BZ63">
        <v>8.7899999999999991</v>
      </c>
      <c r="CA63">
        <v>68.58</v>
      </c>
      <c r="CB63">
        <v>2.79</v>
      </c>
    </row>
    <row r="64" spans="1:80" x14ac:dyDescent="0.25">
      <c r="A64" s="26">
        <v>736</v>
      </c>
      <c r="B64" s="26" t="s">
        <v>77</v>
      </c>
      <c r="C64" s="26" t="s">
        <v>78</v>
      </c>
      <c r="D64" s="26" t="s">
        <v>18</v>
      </c>
      <c r="E64" s="1">
        <v>8</v>
      </c>
      <c r="F64" s="5">
        <v>84.4</v>
      </c>
      <c r="G64" s="1">
        <v>675.2</v>
      </c>
      <c r="H64" s="1">
        <v>123.63</v>
      </c>
      <c r="I64" s="1">
        <v>989.04</v>
      </c>
      <c r="J64" s="1">
        <v>313.83999999999992</v>
      </c>
      <c r="K64" s="5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M64" s="26"/>
      <c r="AN64" s="26"/>
      <c r="AO64" s="26"/>
      <c r="AP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6">
        <v>45203</v>
      </c>
      <c r="BN64" s="26" t="s">
        <v>45</v>
      </c>
      <c r="BO64" s="26" t="s">
        <v>267</v>
      </c>
      <c r="BP64" s="26" t="s">
        <v>28</v>
      </c>
      <c r="BQ64">
        <v>123.63</v>
      </c>
      <c r="BR64">
        <v>237.48</v>
      </c>
      <c r="BS64">
        <v>206.93</v>
      </c>
      <c r="BT64">
        <v>299.92</v>
      </c>
      <c r="BU64">
        <v>9.81</v>
      </c>
      <c r="BV64">
        <v>38.76</v>
      </c>
      <c r="BW64">
        <v>7.67</v>
      </c>
      <c r="BX64" s="26">
        <v>0</v>
      </c>
      <c r="BY64" s="26">
        <v>0</v>
      </c>
      <c r="BZ64">
        <v>8.7899999999999991</v>
      </c>
      <c r="CA64">
        <v>68.58</v>
      </c>
      <c r="CB64">
        <v>2.79</v>
      </c>
    </row>
    <row r="65" spans="1:80" x14ac:dyDescent="0.25">
      <c r="A65" s="26">
        <v>736</v>
      </c>
      <c r="B65" s="26" t="s">
        <v>77</v>
      </c>
      <c r="C65" s="26" t="s">
        <v>78</v>
      </c>
      <c r="D65" s="26" t="s">
        <v>19</v>
      </c>
      <c r="E65" s="1">
        <v>1.5</v>
      </c>
      <c r="F65" s="5">
        <v>168.8</v>
      </c>
      <c r="G65" s="1">
        <v>253.2</v>
      </c>
      <c r="H65" s="1">
        <v>206.93</v>
      </c>
      <c r="I65" s="1">
        <v>310.39499999999998</v>
      </c>
      <c r="J65" s="1">
        <v>57.194999999999993</v>
      </c>
      <c r="K65" s="5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M65" s="26"/>
      <c r="AN65" s="26"/>
      <c r="AO65" s="26"/>
      <c r="AP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6">
        <v>45203</v>
      </c>
      <c r="BN65" s="26" t="s">
        <v>45</v>
      </c>
      <c r="BO65" s="26" t="s">
        <v>267</v>
      </c>
      <c r="BP65" s="26" t="s">
        <v>28</v>
      </c>
      <c r="BQ65">
        <v>123.63</v>
      </c>
      <c r="BR65">
        <v>237.48</v>
      </c>
      <c r="BS65">
        <v>206.93</v>
      </c>
      <c r="BT65">
        <v>299.92</v>
      </c>
      <c r="BU65">
        <v>9.81</v>
      </c>
      <c r="BV65">
        <v>38.76</v>
      </c>
      <c r="BW65">
        <v>7.67</v>
      </c>
      <c r="BX65" s="26">
        <v>0</v>
      </c>
      <c r="BY65" s="26">
        <v>0</v>
      </c>
      <c r="BZ65">
        <v>8.7899999999999991</v>
      </c>
      <c r="CA65">
        <v>68.58</v>
      </c>
      <c r="CB65">
        <v>2.79</v>
      </c>
    </row>
    <row r="66" spans="1:80" x14ac:dyDescent="0.25">
      <c r="A66" s="26">
        <v>736</v>
      </c>
      <c r="B66" s="26" t="s">
        <v>77</v>
      </c>
      <c r="C66" s="26" t="s">
        <v>78</v>
      </c>
      <c r="D66" s="26" t="s">
        <v>18</v>
      </c>
      <c r="E66" s="1">
        <v>8</v>
      </c>
      <c r="F66" s="5">
        <v>84.4</v>
      </c>
      <c r="G66" s="1">
        <v>675.2</v>
      </c>
      <c r="H66" s="1">
        <v>123.63</v>
      </c>
      <c r="I66" s="1">
        <v>989.04</v>
      </c>
      <c r="J66" s="1">
        <v>313.83999999999992</v>
      </c>
      <c r="K66" s="5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M66" s="26"/>
      <c r="AN66" s="26"/>
      <c r="AO66" s="26"/>
      <c r="AP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6">
        <v>45204</v>
      </c>
      <c r="BN66" s="26" t="s">
        <v>45</v>
      </c>
      <c r="BO66" s="26" t="s">
        <v>267</v>
      </c>
      <c r="BP66" s="26" t="s">
        <v>28</v>
      </c>
      <c r="BQ66">
        <v>123.63</v>
      </c>
      <c r="BR66">
        <v>237.48</v>
      </c>
      <c r="BS66">
        <v>206.93</v>
      </c>
      <c r="BT66">
        <v>299.92</v>
      </c>
      <c r="BU66">
        <v>9.81</v>
      </c>
      <c r="BV66">
        <v>38.76</v>
      </c>
      <c r="BW66">
        <v>7.67</v>
      </c>
      <c r="BX66" s="26">
        <v>0</v>
      </c>
      <c r="BY66" s="26">
        <v>0</v>
      </c>
      <c r="BZ66">
        <v>8.7899999999999991</v>
      </c>
      <c r="CA66">
        <v>68.58</v>
      </c>
      <c r="CB66">
        <v>2.79</v>
      </c>
    </row>
    <row r="67" spans="1:80" x14ac:dyDescent="0.25">
      <c r="A67" s="26">
        <v>736</v>
      </c>
      <c r="B67" s="26" t="s">
        <v>77</v>
      </c>
      <c r="C67" s="26" t="s">
        <v>78</v>
      </c>
      <c r="D67" s="26" t="s">
        <v>19</v>
      </c>
      <c r="E67" s="1">
        <v>1.5</v>
      </c>
      <c r="F67" s="5">
        <v>168.8</v>
      </c>
      <c r="G67" s="1">
        <v>253.2</v>
      </c>
      <c r="H67" s="1">
        <v>206.93</v>
      </c>
      <c r="I67" s="1">
        <v>310.39499999999998</v>
      </c>
      <c r="J67" s="1">
        <v>57.194999999999993</v>
      </c>
      <c r="K67" s="5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M67" s="26"/>
      <c r="AN67" s="26"/>
      <c r="AO67" s="26"/>
      <c r="AP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6">
        <v>45204</v>
      </c>
      <c r="BN67" s="26" t="s">
        <v>45</v>
      </c>
      <c r="BO67" s="26" t="s">
        <v>267</v>
      </c>
      <c r="BP67" s="26" t="s">
        <v>28</v>
      </c>
      <c r="BQ67">
        <v>123.63</v>
      </c>
      <c r="BR67">
        <v>237.48</v>
      </c>
      <c r="BS67">
        <v>206.93</v>
      </c>
      <c r="BT67">
        <v>299.92</v>
      </c>
      <c r="BU67">
        <v>9.81</v>
      </c>
      <c r="BV67">
        <v>38.76</v>
      </c>
      <c r="BW67">
        <v>7.67</v>
      </c>
      <c r="BX67" s="26">
        <v>0</v>
      </c>
      <c r="BY67" s="26">
        <v>0</v>
      </c>
      <c r="BZ67">
        <v>8.7899999999999991</v>
      </c>
      <c r="CA67">
        <v>68.58</v>
      </c>
      <c r="CB67">
        <v>2.79</v>
      </c>
    </row>
    <row r="68" spans="1:80" x14ac:dyDescent="0.25">
      <c r="A68" s="26">
        <v>736</v>
      </c>
      <c r="B68" s="26" t="s">
        <v>77</v>
      </c>
      <c r="C68" s="26" t="s">
        <v>78</v>
      </c>
      <c r="D68" s="26" t="s">
        <v>18</v>
      </c>
      <c r="E68" s="1">
        <v>8</v>
      </c>
      <c r="F68" s="5">
        <v>84.4</v>
      </c>
      <c r="G68" s="1">
        <v>675.2</v>
      </c>
      <c r="H68" s="1">
        <v>123.63</v>
      </c>
      <c r="I68" s="1">
        <v>989.04</v>
      </c>
      <c r="J68" s="1">
        <v>313.83999999999992</v>
      </c>
      <c r="K68" s="5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M68" s="26"/>
      <c r="AN68" s="26"/>
      <c r="AO68" s="26"/>
      <c r="AP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6">
        <v>45205</v>
      </c>
      <c r="BN68" s="26" t="s">
        <v>45</v>
      </c>
      <c r="BO68" s="26" t="s">
        <v>267</v>
      </c>
      <c r="BP68" s="26" t="s">
        <v>28</v>
      </c>
      <c r="BQ68">
        <v>123.63</v>
      </c>
      <c r="BR68">
        <v>237.48</v>
      </c>
      <c r="BS68">
        <v>206.93</v>
      </c>
      <c r="BT68">
        <v>299.92</v>
      </c>
      <c r="BU68">
        <v>9.81</v>
      </c>
      <c r="BV68">
        <v>38.76</v>
      </c>
      <c r="BW68">
        <v>7.67</v>
      </c>
      <c r="BX68" s="26">
        <v>0</v>
      </c>
      <c r="BY68" s="26">
        <v>0</v>
      </c>
      <c r="BZ68">
        <v>8.7899999999999991</v>
      </c>
      <c r="CA68">
        <v>68.58</v>
      </c>
      <c r="CB68">
        <v>2.79</v>
      </c>
    </row>
    <row r="69" spans="1:80" x14ac:dyDescent="0.25">
      <c r="A69" s="26">
        <v>736</v>
      </c>
      <c r="B69" s="26" t="s">
        <v>77</v>
      </c>
      <c r="C69" s="26" t="s">
        <v>78</v>
      </c>
      <c r="D69" s="26" t="s">
        <v>19</v>
      </c>
      <c r="E69" s="1">
        <v>1.5</v>
      </c>
      <c r="F69" s="5">
        <v>168.8</v>
      </c>
      <c r="G69" s="1">
        <v>253.2</v>
      </c>
      <c r="H69" s="1">
        <v>206.93</v>
      </c>
      <c r="I69" s="1">
        <v>310.39499999999998</v>
      </c>
      <c r="J69" s="1">
        <v>57.194999999999993</v>
      </c>
      <c r="K69" s="5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M69" s="26"/>
      <c r="AN69" s="26"/>
      <c r="AO69" s="26"/>
      <c r="AP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6">
        <v>45205</v>
      </c>
      <c r="BN69" s="26" t="s">
        <v>45</v>
      </c>
      <c r="BO69" s="26" t="s">
        <v>267</v>
      </c>
      <c r="BP69" s="26" t="s">
        <v>28</v>
      </c>
      <c r="BQ69">
        <v>123.63</v>
      </c>
      <c r="BR69">
        <v>237.48</v>
      </c>
      <c r="BS69">
        <v>206.93</v>
      </c>
      <c r="BT69">
        <v>299.92</v>
      </c>
      <c r="BU69">
        <v>9.81</v>
      </c>
      <c r="BV69">
        <v>38.76</v>
      </c>
      <c r="BW69">
        <v>7.67</v>
      </c>
      <c r="BX69" s="26">
        <v>0</v>
      </c>
      <c r="BY69" s="26">
        <v>0</v>
      </c>
      <c r="BZ69">
        <v>8.7899999999999991</v>
      </c>
      <c r="CA69">
        <v>68.58</v>
      </c>
      <c r="CB69">
        <v>2.79</v>
      </c>
    </row>
    <row r="70" spans="1:80" x14ac:dyDescent="0.25">
      <c r="A70" s="26">
        <v>736</v>
      </c>
      <c r="B70" s="26" t="s">
        <v>269</v>
      </c>
      <c r="C70" s="26" t="s">
        <v>78</v>
      </c>
      <c r="D70" s="26" t="s">
        <v>22</v>
      </c>
      <c r="E70" s="1">
        <v>36</v>
      </c>
      <c r="F70" s="5">
        <v>7.6999999999999993</v>
      </c>
      <c r="G70" s="1">
        <v>277.2</v>
      </c>
      <c r="H70" s="1">
        <v>9.81</v>
      </c>
      <c r="I70" s="1">
        <v>353.16</v>
      </c>
      <c r="J70" s="1">
        <v>75.960000000000036</v>
      </c>
      <c r="K70" s="5" t="s">
        <v>386</v>
      </c>
      <c r="L70" s="26" t="s">
        <v>387</v>
      </c>
      <c r="M70" s="26" t="s">
        <v>443</v>
      </c>
      <c r="N70" s="26" t="s">
        <v>444</v>
      </c>
      <c r="O70" s="26" t="s">
        <v>60</v>
      </c>
      <c r="P70" s="26" t="s">
        <v>60</v>
      </c>
      <c r="Q70" s="26" t="s">
        <v>60</v>
      </c>
      <c r="R70" s="26" t="s">
        <v>60</v>
      </c>
      <c r="S70" s="26" t="s">
        <v>167</v>
      </c>
      <c r="T70" s="26" t="s">
        <v>445</v>
      </c>
      <c r="U70" s="26" t="s">
        <v>388</v>
      </c>
      <c r="V70" s="26" t="s">
        <v>389</v>
      </c>
      <c r="W70" s="26" t="s">
        <v>60</v>
      </c>
      <c r="X70" s="26" t="s">
        <v>60</v>
      </c>
      <c r="Y70" s="26" t="s">
        <v>55</v>
      </c>
      <c r="Z70" s="26" t="s">
        <v>56</v>
      </c>
      <c r="AA70" s="26" t="s">
        <v>60</v>
      </c>
      <c r="AB70" s="26" t="s">
        <v>60</v>
      </c>
      <c r="AC70" s="26" t="s">
        <v>60</v>
      </c>
      <c r="AD70" s="26" t="s">
        <v>60</v>
      </c>
      <c r="AE70" s="26" t="s">
        <v>60</v>
      </c>
      <c r="AF70" s="26" t="s">
        <v>60</v>
      </c>
      <c r="AG70" s="26" t="s">
        <v>443</v>
      </c>
      <c r="AH70" s="26" t="s">
        <v>446</v>
      </c>
      <c r="AI70" t="s">
        <v>239</v>
      </c>
      <c r="AJ70" t="s">
        <v>350</v>
      </c>
      <c r="AK70" t="s">
        <v>431</v>
      </c>
      <c r="AL70" t="s">
        <v>432</v>
      </c>
      <c r="AM70" s="26" t="s">
        <v>57</v>
      </c>
      <c r="AN70" s="26" t="s">
        <v>58</v>
      </c>
      <c r="AO70" s="26"/>
      <c r="AP70" s="26"/>
      <c r="AS70" s="26"/>
      <c r="AT70" s="26"/>
      <c r="AU70" s="26"/>
      <c r="AV70" s="26" t="s">
        <v>59</v>
      </c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6">
        <v>45207</v>
      </c>
      <c r="BN70" s="26" t="s">
        <v>45</v>
      </c>
      <c r="BO70" s="26" t="s">
        <v>267</v>
      </c>
      <c r="BP70" s="26" t="s">
        <v>28</v>
      </c>
      <c r="BQ70">
        <v>123.63</v>
      </c>
      <c r="BR70">
        <v>237.48</v>
      </c>
      <c r="BS70">
        <v>206.93</v>
      </c>
      <c r="BT70">
        <v>299.92</v>
      </c>
      <c r="BU70">
        <v>9.81</v>
      </c>
      <c r="BV70">
        <v>38.76</v>
      </c>
      <c r="BW70">
        <v>7.67</v>
      </c>
      <c r="BX70" s="26">
        <v>0</v>
      </c>
      <c r="BY70" s="26">
        <v>0</v>
      </c>
      <c r="BZ70">
        <v>8.7899999999999991</v>
      </c>
      <c r="CA70">
        <v>68.58</v>
      </c>
      <c r="CB70">
        <v>2.79</v>
      </c>
    </row>
    <row r="71" spans="1:80" x14ac:dyDescent="0.25">
      <c r="A71" s="26">
        <v>736</v>
      </c>
      <c r="B71" s="26" t="s">
        <v>269</v>
      </c>
      <c r="C71" s="26" t="s">
        <v>78</v>
      </c>
      <c r="D71" s="26" t="s">
        <v>13</v>
      </c>
      <c r="E71" s="1">
        <v>3</v>
      </c>
      <c r="F71" s="5">
        <v>36.089999999999996</v>
      </c>
      <c r="G71" s="1">
        <v>108.27</v>
      </c>
      <c r="H71" s="1">
        <v>38.76</v>
      </c>
      <c r="I71" s="1">
        <v>116.28</v>
      </c>
      <c r="J71" s="1">
        <v>8.0100000000000051</v>
      </c>
      <c r="K71" s="5" t="s">
        <v>386</v>
      </c>
      <c r="L71" s="26" t="s">
        <v>387</v>
      </c>
      <c r="M71" s="26" t="s">
        <v>443</v>
      </c>
      <c r="N71" s="26" t="s">
        <v>444</v>
      </c>
      <c r="O71" s="26" t="s">
        <v>60</v>
      </c>
      <c r="P71" s="26" t="s">
        <v>60</v>
      </c>
      <c r="Q71" s="26" t="s">
        <v>60</v>
      </c>
      <c r="R71" s="26" t="s">
        <v>60</v>
      </c>
      <c r="S71" s="26" t="s">
        <v>167</v>
      </c>
      <c r="T71" s="26" t="s">
        <v>445</v>
      </c>
      <c r="U71" s="26" t="s">
        <v>388</v>
      </c>
      <c r="V71" s="26" t="s">
        <v>389</v>
      </c>
      <c r="W71" s="26" t="s">
        <v>60</v>
      </c>
      <c r="X71" s="26" t="s">
        <v>60</v>
      </c>
      <c r="Y71" s="26" t="s">
        <v>55</v>
      </c>
      <c r="Z71" s="26" t="s">
        <v>56</v>
      </c>
      <c r="AA71" s="26" t="s">
        <v>60</v>
      </c>
      <c r="AB71" s="26" t="s">
        <v>60</v>
      </c>
      <c r="AC71" s="26" t="s">
        <v>60</v>
      </c>
      <c r="AD71" s="26" t="s">
        <v>60</v>
      </c>
      <c r="AE71" s="26" t="s">
        <v>60</v>
      </c>
      <c r="AF71" s="26" t="s">
        <v>60</v>
      </c>
      <c r="AG71" s="26" t="s">
        <v>443</v>
      </c>
      <c r="AH71" s="26" t="s">
        <v>446</v>
      </c>
      <c r="AI71">
        <v>3</v>
      </c>
      <c r="AJ71">
        <v>108.27</v>
      </c>
      <c r="AK71" t="s">
        <v>431</v>
      </c>
      <c r="AL71" t="s">
        <v>432</v>
      </c>
      <c r="AM71" s="26" t="s">
        <v>57</v>
      </c>
      <c r="AN71" s="26" t="s">
        <v>58</v>
      </c>
      <c r="AO71" s="26" t="s">
        <v>60</v>
      </c>
      <c r="AP71" s="26" t="s">
        <v>60</v>
      </c>
      <c r="AQ71">
        <v>0</v>
      </c>
      <c r="AR71">
        <v>0</v>
      </c>
      <c r="AS71" s="26" t="s">
        <v>60</v>
      </c>
      <c r="AT71" s="26" t="s">
        <v>60</v>
      </c>
      <c r="AU71" s="26" t="s">
        <v>60</v>
      </c>
      <c r="AV71" s="26" t="s">
        <v>59</v>
      </c>
      <c r="AW71" s="26" t="s">
        <v>496</v>
      </c>
      <c r="AX71" s="26" t="s">
        <v>496</v>
      </c>
      <c r="AY71" s="26" t="s">
        <v>498</v>
      </c>
      <c r="AZ71" s="26" t="s">
        <v>499</v>
      </c>
      <c r="BA71" s="26" t="s">
        <v>497</v>
      </c>
      <c r="BB71" s="26" t="s">
        <v>397</v>
      </c>
      <c r="BC71" s="26"/>
      <c r="BD71" s="26"/>
      <c r="BE71" s="26"/>
      <c r="BF71" s="26"/>
      <c r="BG71" s="26"/>
      <c r="BH71" s="26"/>
      <c r="BI71" s="26"/>
      <c r="BJ71" s="26"/>
      <c r="BK71" s="26"/>
      <c r="BL71" s="26" t="s">
        <v>500</v>
      </c>
      <c r="BM71" s="6">
        <v>45207</v>
      </c>
      <c r="BN71" s="26" t="s">
        <v>45</v>
      </c>
      <c r="BO71" s="26" t="s">
        <v>267</v>
      </c>
      <c r="BP71" s="26" t="s">
        <v>28</v>
      </c>
      <c r="BQ71">
        <v>123.63</v>
      </c>
      <c r="BR71">
        <v>237.48</v>
      </c>
      <c r="BS71">
        <v>206.93</v>
      </c>
      <c r="BT71">
        <v>299.92</v>
      </c>
      <c r="BU71">
        <v>9.81</v>
      </c>
      <c r="BV71">
        <v>38.76</v>
      </c>
      <c r="BW71">
        <v>7.67</v>
      </c>
      <c r="BX71" s="26">
        <v>0</v>
      </c>
      <c r="BY71" s="26">
        <v>0</v>
      </c>
      <c r="BZ71">
        <v>8.7899999999999991</v>
      </c>
      <c r="CA71">
        <v>68.58</v>
      </c>
      <c r="CB71">
        <v>2.79</v>
      </c>
    </row>
    <row r="72" spans="1:80" x14ac:dyDescent="0.25">
      <c r="A72" s="26">
        <v>736</v>
      </c>
      <c r="B72" s="26" t="s">
        <v>269</v>
      </c>
      <c r="C72" s="26" t="s">
        <v>78</v>
      </c>
      <c r="D72" s="26" t="s">
        <v>25</v>
      </c>
      <c r="E72" s="1">
        <v>5</v>
      </c>
      <c r="F72" s="5">
        <v>55</v>
      </c>
      <c r="G72" s="1">
        <v>275</v>
      </c>
      <c r="H72" s="1">
        <v>68.58</v>
      </c>
      <c r="I72" s="1">
        <v>342.9</v>
      </c>
      <c r="J72" s="1">
        <v>67.899999999999977</v>
      </c>
      <c r="K72" s="5" t="s">
        <v>386</v>
      </c>
      <c r="L72" s="26" t="s">
        <v>387</v>
      </c>
      <c r="M72" s="26" t="s">
        <v>443</v>
      </c>
      <c r="N72" s="26" t="s">
        <v>444</v>
      </c>
      <c r="O72" s="26" t="s">
        <v>60</v>
      </c>
      <c r="P72" s="26" t="s">
        <v>60</v>
      </c>
      <c r="Q72" s="26" t="s">
        <v>60</v>
      </c>
      <c r="R72" s="26" t="s">
        <v>60</v>
      </c>
      <c r="S72" s="26" t="s">
        <v>167</v>
      </c>
      <c r="T72" s="26" t="s">
        <v>445</v>
      </c>
      <c r="U72" s="26" t="s">
        <v>388</v>
      </c>
      <c r="V72" s="26" t="s">
        <v>389</v>
      </c>
      <c r="W72" s="26" t="s">
        <v>60</v>
      </c>
      <c r="X72" s="26" t="s">
        <v>60</v>
      </c>
      <c r="Y72" s="26" t="s">
        <v>55</v>
      </c>
      <c r="Z72" s="26" t="s">
        <v>56</v>
      </c>
      <c r="AA72" s="26" t="s">
        <v>60</v>
      </c>
      <c r="AB72" s="26" t="s">
        <v>60</v>
      </c>
      <c r="AC72" s="26" t="s">
        <v>60</v>
      </c>
      <c r="AD72" s="26" t="s">
        <v>60</v>
      </c>
      <c r="AE72" s="26" t="s">
        <v>60</v>
      </c>
      <c r="AF72" s="26" t="s">
        <v>60</v>
      </c>
      <c r="AG72" s="26" t="s">
        <v>443</v>
      </c>
      <c r="AH72" s="26" t="s">
        <v>446</v>
      </c>
      <c r="AI72" t="s">
        <v>239</v>
      </c>
      <c r="AJ72" t="s">
        <v>350</v>
      </c>
      <c r="AK72">
        <v>5</v>
      </c>
      <c r="AL72">
        <v>275</v>
      </c>
      <c r="AM72" s="26" t="s">
        <v>57</v>
      </c>
      <c r="AN72" s="26" t="s">
        <v>58</v>
      </c>
      <c r="AO72" s="26">
        <v>0</v>
      </c>
      <c r="AP72" s="26">
        <v>0</v>
      </c>
      <c r="AQ72" t="s">
        <v>60</v>
      </c>
      <c r="AR72" t="s">
        <v>60</v>
      </c>
      <c r="AS72" s="26" t="s">
        <v>60</v>
      </c>
      <c r="AT72" s="26" t="s">
        <v>60</v>
      </c>
      <c r="AU72" s="26" t="s">
        <v>60</v>
      </c>
      <c r="AV72" s="26" t="s">
        <v>59</v>
      </c>
      <c r="AW72" s="26" t="s">
        <v>496</v>
      </c>
      <c r="AX72" s="26" t="s">
        <v>496</v>
      </c>
      <c r="AY72" s="26" t="s">
        <v>498</v>
      </c>
      <c r="AZ72" s="26" t="s">
        <v>499</v>
      </c>
      <c r="BA72" s="26" t="s">
        <v>497</v>
      </c>
      <c r="BB72" s="26" t="s">
        <v>397</v>
      </c>
      <c r="BC72" s="26" t="s">
        <v>121</v>
      </c>
      <c r="BD72" s="26" t="s">
        <v>563</v>
      </c>
      <c r="BE72" s="26" t="s">
        <v>60</v>
      </c>
      <c r="BF72" s="26" t="s">
        <v>60</v>
      </c>
      <c r="BG72" s="26" t="s">
        <v>60</v>
      </c>
      <c r="BH72" s="26" t="s">
        <v>60</v>
      </c>
      <c r="BI72" s="26" t="s">
        <v>60</v>
      </c>
      <c r="BJ72" s="26" t="s">
        <v>60</v>
      </c>
      <c r="BK72" s="26" t="s">
        <v>60</v>
      </c>
      <c r="BL72" s="26" t="s">
        <v>500</v>
      </c>
      <c r="BM72" s="6">
        <v>45207</v>
      </c>
      <c r="BN72" s="26" t="s">
        <v>45</v>
      </c>
      <c r="BO72" s="26" t="s">
        <v>267</v>
      </c>
      <c r="BP72" s="26" t="s">
        <v>28</v>
      </c>
      <c r="BQ72">
        <v>123.63</v>
      </c>
      <c r="BR72">
        <v>237.48</v>
      </c>
      <c r="BS72">
        <v>206.93</v>
      </c>
      <c r="BT72">
        <v>299.92</v>
      </c>
      <c r="BU72">
        <v>9.81</v>
      </c>
      <c r="BV72">
        <v>38.76</v>
      </c>
      <c r="BW72">
        <v>7.67</v>
      </c>
      <c r="BX72" s="26">
        <v>0</v>
      </c>
      <c r="BY72" s="26">
        <v>0</v>
      </c>
      <c r="BZ72">
        <v>8.7899999999999991</v>
      </c>
      <c r="CA72">
        <v>68.58</v>
      </c>
      <c r="CB72">
        <v>2.79</v>
      </c>
    </row>
    <row r="73" spans="1:80" x14ac:dyDescent="0.25">
      <c r="A73" s="26">
        <v>736</v>
      </c>
      <c r="B73" s="26" t="s">
        <v>269</v>
      </c>
      <c r="C73" s="26" t="s">
        <v>78</v>
      </c>
      <c r="D73" s="26" t="s">
        <v>14</v>
      </c>
      <c r="E73" s="1">
        <v>4.5</v>
      </c>
      <c r="F73" s="5">
        <v>2.48</v>
      </c>
      <c r="G73" s="1">
        <v>11.16</v>
      </c>
      <c r="H73" s="1">
        <v>2.79</v>
      </c>
      <c r="I73" s="1">
        <v>12.555</v>
      </c>
      <c r="J73" s="1">
        <v>1.3949999999999996</v>
      </c>
      <c r="K73" s="5" t="s">
        <v>386</v>
      </c>
      <c r="L73" s="26" t="s">
        <v>387</v>
      </c>
      <c r="M73" s="26" t="s">
        <v>443</v>
      </c>
      <c r="N73" s="26" t="s">
        <v>444</v>
      </c>
      <c r="O73" s="26" t="s">
        <v>60</v>
      </c>
      <c r="P73" s="26" t="s">
        <v>60</v>
      </c>
      <c r="Q73" s="26" t="s">
        <v>60</v>
      </c>
      <c r="R73" s="26" t="s">
        <v>60</v>
      </c>
      <c r="S73" s="26" t="s">
        <v>167</v>
      </c>
      <c r="T73" s="26" t="s">
        <v>445</v>
      </c>
      <c r="U73" s="26" t="s">
        <v>388</v>
      </c>
      <c r="V73" s="26" t="s">
        <v>389</v>
      </c>
      <c r="W73" s="26" t="s">
        <v>60</v>
      </c>
      <c r="X73" s="26" t="s">
        <v>60</v>
      </c>
      <c r="Y73" s="26" t="s">
        <v>55</v>
      </c>
      <c r="Z73" s="26" t="s">
        <v>56</v>
      </c>
      <c r="AA73" s="26" t="s">
        <v>60</v>
      </c>
      <c r="AB73" s="26" t="s">
        <v>60</v>
      </c>
      <c r="AC73" s="26" t="s">
        <v>60</v>
      </c>
      <c r="AD73" s="26" t="s">
        <v>60</v>
      </c>
      <c r="AE73" s="26" t="s">
        <v>60</v>
      </c>
      <c r="AF73" s="26" t="s">
        <v>60</v>
      </c>
      <c r="AG73" s="26"/>
      <c r="AH73" s="26"/>
      <c r="AI73" t="s">
        <v>239</v>
      </c>
      <c r="AJ73" t="s">
        <v>350</v>
      </c>
      <c r="AK73" t="s">
        <v>431</v>
      </c>
      <c r="AL73" t="s">
        <v>432</v>
      </c>
      <c r="AM73" s="26" t="s">
        <v>57</v>
      </c>
      <c r="AN73" s="26" t="s">
        <v>58</v>
      </c>
      <c r="AO73" s="26" t="s">
        <v>60</v>
      </c>
      <c r="AP73" s="26" t="s">
        <v>60</v>
      </c>
      <c r="AQ73" t="s">
        <v>60</v>
      </c>
      <c r="AR73" t="s">
        <v>60</v>
      </c>
      <c r="AS73" s="26"/>
      <c r="AT73" s="26"/>
      <c r="AU73" s="26"/>
      <c r="AV73" s="26" t="s">
        <v>59</v>
      </c>
      <c r="AW73" s="26"/>
      <c r="AX73" s="26"/>
      <c r="AY73" s="26"/>
      <c r="AZ73" s="26"/>
      <c r="BA73" s="26"/>
      <c r="BB73" s="26" t="s">
        <v>397</v>
      </c>
      <c r="BC73" s="26"/>
      <c r="BD73" s="26"/>
      <c r="BE73" s="26"/>
      <c r="BF73" s="26"/>
      <c r="BG73" s="26"/>
      <c r="BH73" s="26"/>
      <c r="BI73" s="26"/>
      <c r="BJ73" s="26"/>
      <c r="BK73" s="26"/>
      <c r="BL73" s="26" t="s">
        <v>500</v>
      </c>
      <c r="BM73" s="6">
        <v>45207</v>
      </c>
      <c r="BN73" s="26" t="s">
        <v>45</v>
      </c>
      <c r="BO73" s="26" t="s">
        <v>267</v>
      </c>
      <c r="BP73" s="26" t="s">
        <v>28</v>
      </c>
      <c r="BQ73">
        <v>123.63</v>
      </c>
      <c r="BR73">
        <v>237.48</v>
      </c>
      <c r="BS73">
        <v>206.93</v>
      </c>
      <c r="BT73">
        <v>299.92</v>
      </c>
      <c r="BU73">
        <v>9.81</v>
      </c>
      <c r="BV73">
        <v>38.76</v>
      </c>
      <c r="BW73">
        <v>7.67</v>
      </c>
      <c r="BX73" s="26">
        <v>0</v>
      </c>
      <c r="BY73" s="26">
        <v>0</v>
      </c>
      <c r="BZ73">
        <v>8.7899999999999991</v>
      </c>
      <c r="CA73">
        <v>68.58</v>
      </c>
      <c r="CB73">
        <v>2.79</v>
      </c>
    </row>
    <row r="74" spans="1:80" x14ac:dyDescent="0.25">
      <c r="A74" s="26">
        <v>677</v>
      </c>
      <c r="B74" s="26" t="s">
        <v>81</v>
      </c>
      <c r="C74" s="26" t="s">
        <v>82</v>
      </c>
      <c r="D74" s="26" t="s">
        <v>19</v>
      </c>
      <c r="E74" s="1">
        <v>4</v>
      </c>
      <c r="F74" s="5">
        <v>144.018</v>
      </c>
      <c r="G74" s="1">
        <v>576.07000000000005</v>
      </c>
      <c r="H74" s="1">
        <v>187.9</v>
      </c>
      <c r="I74" s="1">
        <v>751.6</v>
      </c>
      <c r="J74" s="1">
        <v>175.52999999999997</v>
      </c>
      <c r="K74" s="5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M74" s="26"/>
      <c r="AN74" s="26"/>
      <c r="AO74" s="26"/>
      <c r="AP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6">
        <v>45201</v>
      </c>
      <c r="BN74" s="26" t="s">
        <v>138</v>
      </c>
      <c r="BO74" s="26" t="s">
        <v>139</v>
      </c>
      <c r="BP74" s="26" t="s">
        <v>75</v>
      </c>
      <c r="BQ74">
        <v>126.68</v>
      </c>
      <c r="BR74">
        <v>219.58</v>
      </c>
      <c r="BS74">
        <v>187.9</v>
      </c>
      <c r="BT74">
        <v>295.27999999999997</v>
      </c>
      <c r="BU74">
        <v>14.07</v>
      </c>
      <c r="BV74">
        <v>35.43</v>
      </c>
      <c r="BW74">
        <v>8.34</v>
      </c>
      <c r="BX74" s="26">
        <v>0</v>
      </c>
      <c r="BY74" s="26">
        <v>0</v>
      </c>
      <c r="BZ74">
        <v>9.5500000000000007</v>
      </c>
      <c r="CA74">
        <v>73.33</v>
      </c>
      <c r="CB74">
        <v>0</v>
      </c>
    </row>
    <row r="75" spans="1:80" x14ac:dyDescent="0.25">
      <c r="A75" s="26">
        <v>677</v>
      </c>
      <c r="B75" s="26" t="s">
        <v>81</v>
      </c>
      <c r="C75" s="26" t="s">
        <v>82</v>
      </c>
      <c r="D75" s="26" t="s">
        <v>21</v>
      </c>
      <c r="E75" s="1">
        <v>8</v>
      </c>
      <c r="F75" s="5">
        <v>144.018</v>
      </c>
      <c r="G75" s="1">
        <v>1152.1400000000001</v>
      </c>
      <c r="H75" s="1">
        <v>219.58</v>
      </c>
      <c r="I75" s="1">
        <v>1756.64</v>
      </c>
      <c r="J75" s="1">
        <v>604.5</v>
      </c>
      <c r="K75" s="5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M75" s="26"/>
      <c r="AN75" s="26"/>
      <c r="AO75" s="26"/>
      <c r="AP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6">
        <v>45201</v>
      </c>
      <c r="BN75" s="26" t="s">
        <v>138</v>
      </c>
      <c r="BO75" s="26" t="s">
        <v>139</v>
      </c>
      <c r="BP75" s="26" t="s">
        <v>75</v>
      </c>
      <c r="BQ75">
        <v>126.68</v>
      </c>
      <c r="BR75">
        <v>219.58</v>
      </c>
      <c r="BS75">
        <v>187.9</v>
      </c>
      <c r="BT75">
        <v>295.27999999999997</v>
      </c>
      <c r="BU75">
        <v>14.07</v>
      </c>
      <c r="BV75">
        <v>35.43</v>
      </c>
      <c r="BW75">
        <v>8.34</v>
      </c>
      <c r="BX75" s="26">
        <v>0</v>
      </c>
      <c r="BY75" s="26">
        <v>0</v>
      </c>
      <c r="BZ75">
        <v>9.5500000000000007</v>
      </c>
      <c r="CA75">
        <v>73.33</v>
      </c>
      <c r="CB75">
        <v>0</v>
      </c>
    </row>
    <row r="76" spans="1:80" x14ac:dyDescent="0.25">
      <c r="A76" s="26">
        <v>677</v>
      </c>
      <c r="B76" s="26" t="s">
        <v>81</v>
      </c>
      <c r="C76" s="26" t="s">
        <v>82</v>
      </c>
      <c r="D76" s="26" t="s">
        <v>18</v>
      </c>
      <c r="E76" s="1">
        <v>8</v>
      </c>
      <c r="F76" s="5">
        <v>80.010000000000005</v>
      </c>
      <c r="G76" s="1">
        <v>640.08000000000004</v>
      </c>
      <c r="H76" s="1">
        <v>126.68</v>
      </c>
      <c r="I76" s="1">
        <v>1013.44</v>
      </c>
      <c r="J76" s="1">
        <v>373.36</v>
      </c>
      <c r="K76" s="5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M76" s="26"/>
      <c r="AN76" s="26"/>
      <c r="AO76" s="26"/>
      <c r="AP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6">
        <v>45205</v>
      </c>
      <c r="BN76" s="26" t="s">
        <v>138</v>
      </c>
      <c r="BO76" s="26" t="s">
        <v>139</v>
      </c>
      <c r="BP76" s="26" t="s">
        <v>75</v>
      </c>
      <c r="BQ76">
        <v>126.68</v>
      </c>
      <c r="BR76">
        <v>219.58</v>
      </c>
      <c r="BS76">
        <v>187.9</v>
      </c>
      <c r="BT76">
        <v>295.27999999999997</v>
      </c>
      <c r="BU76">
        <v>14.07</v>
      </c>
      <c r="BV76">
        <v>35.43</v>
      </c>
      <c r="BW76">
        <v>8.34</v>
      </c>
      <c r="BX76" s="26">
        <v>0</v>
      </c>
      <c r="BY76" s="26">
        <v>0</v>
      </c>
      <c r="BZ76">
        <v>9.5500000000000007</v>
      </c>
      <c r="CA76">
        <v>73.33</v>
      </c>
      <c r="CB76">
        <v>0</v>
      </c>
    </row>
    <row r="77" spans="1:80" x14ac:dyDescent="0.25">
      <c r="A77" s="26">
        <v>677</v>
      </c>
      <c r="B77" s="26" t="s">
        <v>81</v>
      </c>
      <c r="C77" s="26" t="s">
        <v>82</v>
      </c>
      <c r="D77" s="26" t="s">
        <v>19</v>
      </c>
      <c r="E77" s="1">
        <v>4</v>
      </c>
      <c r="F77" s="5">
        <v>144.018</v>
      </c>
      <c r="G77" s="1">
        <v>576.07000000000005</v>
      </c>
      <c r="H77" s="1">
        <v>187.9</v>
      </c>
      <c r="I77" s="1">
        <v>751.6</v>
      </c>
      <c r="J77" s="1">
        <v>175.52999999999997</v>
      </c>
      <c r="K77" s="5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M77" s="26"/>
      <c r="AN77" s="26"/>
      <c r="AO77" s="26"/>
      <c r="AP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6">
        <v>45205</v>
      </c>
      <c r="BN77" s="26" t="s">
        <v>138</v>
      </c>
      <c r="BO77" s="26" t="s">
        <v>139</v>
      </c>
      <c r="BP77" s="26" t="s">
        <v>75</v>
      </c>
      <c r="BQ77">
        <v>126.68</v>
      </c>
      <c r="BR77">
        <v>219.58</v>
      </c>
      <c r="BS77">
        <v>187.9</v>
      </c>
      <c r="BT77">
        <v>295.27999999999997</v>
      </c>
      <c r="BU77">
        <v>14.07</v>
      </c>
      <c r="BV77">
        <v>35.43</v>
      </c>
      <c r="BW77">
        <v>8.34</v>
      </c>
      <c r="BX77" s="26">
        <v>0</v>
      </c>
      <c r="BY77" s="26">
        <v>0</v>
      </c>
      <c r="BZ77">
        <v>9.5500000000000007</v>
      </c>
      <c r="CA77">
        <v>73.33</v>
      </c>
      <c r="CB77">
        <v>0</v>
      </c>
    </row>
    <row r="78" spans="1:80" x14ac:dyDescent="0.25">
      <c r="A78" s="26">
        <v>677</v>
      </c>
      <c r="B78" s="26" t="s">
        <v>81</v>
      </c>
      <c r="C78" s="26" t="s">
        <v>82</v>
      </c>
      <c r="D78" s="26" t="s">
        <v>21</v>
      </c>
      <c r="E78" s="1">
        <v>12</v>
      </c>
      <c r="F78" s="5">
        <v>144.018</v>
      </c>
      <c r="G78" s="1">
        <v>1728.22</v>
      </c>
      <c r="H78" s="1">
        <v>219.58</v>
      </c>
      <c r="I78" s="1">
        <v>2634.96</v>
      </c>
      <c r="J78" s="1">
        <v>906.74</v>
      </c>
      <c r="K78" s="5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M78" s="26"/>
      <c r="AN78" s="26"/>
      <c r="AO78" s="26"/>
      <c r="AP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6">
        <v>45206</v>
      </c>
      <c r="BN78" s="26" t="s">
        <v>138</v>
      </c>
      <c r="BO78" s="26" t="s">
        <v>139</v>
      </c>
      <c r="BP78" s="26" t="s">
        <v>75</v>
      </c>
      <c r="BQ78">
        <v>126.68</v>
      </c>
      <c r="BR78">
        <v>219.58</v>
      </c>
      <c r="BS78">
        <v>187.9</v>
      </c>
      <c r="BT78">
        <v>295.27999999999997</v>
      </c>
      <c r="BU78">
        <v>14.07</v>
      </c>
      <c r="BV78">
        <v>35.43</v>
      </c>
      <c r="BW78">
        <v>8.34</v>
      </c>
      <c r="BX78" s="26">
        <v>0</v>
      </c>
      <c r="BY78" s="26">
        <v>0</v>
      </c>
      <c r="BZ78">
        <v>9.5500000000000007</v>
      </c>
      <c r="CA78">
        <v>73.33</v>
      </c>
      <c r="CB78">
        <v>0</v>
      </c>
    </row>
    <row r="79" spans="1:80" x14ac:dyDescent="0.25">
      <c r="A79" s="26">
        <v>677</v>
      </c>
      <c r="B79" s="26" t="s">
        <v>81</v>
      </c>
      <c r="C79" s="26" t="s">
        <v>82</v>
      </c>
      <c r="D79" s="26" t="s">
        <v>21</v>
      </c>
      <c r="E79" s="1">
        <v>12</v>
      </c>
      <c r="F79" s="5">
        <v>144.018</v>
      </c>
      <c r="G79" s="1">
        <v>1728.22</v>
      </c>
      <c r="H79" s="1">
        <v>219.58</v>
      </c>
      <c r="I79" s="1">
        <v>2634.96</v>
      </c>
      <c r="J79" s="1">
        <v>906.74</v>
      </c>
      <c r="K79" s="5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M79" s="26"/>
      <c r="AN79" s="26"/>
      <c r="AO79" s="26"/>
      <c r="AP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6">
        <v>45207</v>
      </c>
      <c r="BN79" s="26" t="s">
        <v>138</v>
      </c>
      <c r="BO79" s="26" t="s">
        <v>139</v>
      </c>
      <c r="BP79" s="26" t="s">
        <v>75</v>
      </c>
      <c r="BQ79">
        <v>126.68</v>
      </c>
      <c r="BR79">
        <v>219.58</v>
      </c>
      <c r="BS79">
        <v>187.9</v>
      </c>
      <c r="BT79">
        <v>295.27999999999997</v>
      </c>
      <c r="BU79">
        <v>14.07</v>
      </c>
      <c r="BV79">
        <v>35.43</v>
      </c>
      <c r="BW79">
        <v>8.34</v>
      </c>
      <c r="BX79" s="26">
        <v>0</v>
      </c>
      <c r="BY79" s="26">
        <v>0</v>
      </c>
      <c r="BZ79">
        <v>9.5500000000000007</v>
      </c>
      <c r="CA79">
        <v>73.33</v>
      </c>
      <c r="CB79">
        <v>0</v>
      </c>
    </row>
    <row r="80" spans="1:80" x14ac:dyDescent="0.25">
      <c r="A80" s="26">
        <v>677</v>
      </c>
      <c r="B80" s="26" t="s">
        <v>136</v>
      </c>
      <c r="C80" s="26" t="s">
        <v>82</v>
      </c>
      <c r="D80" s="26" t="s">
        <v>22</v>
      </c>
      <c r="E80" s="1">
        <v>48</v>
      </c>
      <c r="F80" s="5">
        <v>10.15</v>
      </c>
      <c r="G80" s="1">
        <v>487.2</v>
      </c>
      <c r="H80" s="1">
        <v>14.07</v>
      </c>
      <c r="I80" s="1">
        <v>675.36</v>
      </c>
      <c r="J80" s="1">
        <v>188.16000000000003</v>
      </c>
      <c r="K80" s="5" t="s">
        <v>90</v>
      </c>
      <c r="L80" s="26" t="s">
        <v>441</v>
      </c>
      <c r="M80" s="26" t="s">
        <v>60</v>
      </c>
      <c r="N80" s="26" t="s">
        <v>60</v>
      </c>
      <c r="O80" s="26" t="s">
        <v>60</v>
      </c>
      <c r="P80" s="26" t="s">
        <v>60</v>
      </c>
      <c r="Q80" s="26" t="s">
        <v>60</v>
      </c>
      <c r="R80" s="26" t="s">
        <v>60</v>
      </c>
      <c r="S80" s="26" t="s">
        <v>90</v>
      </c>
      <c r="T80" s="26" t="s">
        <v>441</v>
      </c>
      <c r="U80" s="26" t="s">
        <v>424</v>
      </c>
      <c r="V80" s="26" t="s">
        <v>425</v>
      </c>
      <c r="W80" s="26" t="s">
        <v>60</v>
      </c>
      <c r="X80" s="26" t="s">
        <v>60</v>
      </c>
      <c r="Y80" s="26" t="s">
        <v>55</v>
      </c>
      <c r="Z80" s="26" t="s">
        <v>56</v>
      </c>
      <c r="AA80" s="26" t="s">
        <v>90</v>
      </c>
      <c r="AB80" s="26" t="s">
        <v>442</v>
      </c>
      <c r="AC80" s="26" t="s">
        <v>135</v>
      </c>
      <c r="AD80" s="26" t="s">
        <v>294</v>
      </c>
      <c r="AE80" s="26" t="s">
        <v>60</v>
      </c>
      <c r="AF80" s="26" t="s">
        <v>60</v>
      </c>
      <c r="AG80" s="26" t="s">
        <v>60</v>
      </c>
      <c r="AH80" s="26" t="s">
        <v>60</v>
      </c>
      <c r="AI80" t="s">
        <v>60</v>
      </c>
      <c r="AJ80" t="s">
        <v>60</v>
      </c>
      <c r="AK80" t="s">
        <v>60</v>
      </c>
      <c r="AL80" t="s">
        <v>60</v>
      </c>
      <c r="AM80" s="26" t="s">
        <v>57</v>
      </c>
      <c r="AN80" s="26" t="s">
        <v>58</v>
      </c>
      <c r="AO80" s="26"/>
      <c r="AP80" s="26"/>
      <c r="AS80" s="26"/>
      <c r="AT80" s="26"/>
      <c r="AU80" s="26"/>
      <c r="AV80" s="26" t="s">
        <v>59</v>
      </c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6">
        <v>45207</v>
      </c>
      <c r="BN80" s="26" t="s">
        <v>138</v>
      </c>
      <c r="BO80" s="26" t="s">
        <v>139</v>
      </c>
      <c r="BP80" s="26" t="s">
        <v>75</v>
      </c>
      <c r="BQ80">
        <v>126.68</v>
      </c>
      <c r="BR80">
        <v>219.58</v>
      </c>
      <c r="BS80">
        <v>187.9</v>
      </c>
      <c r="BT80">
        <v>295.27999999999997</v>
      </c>
      <c r="BU80">
        <v>14.07</v>
      </c>
      <c r="BV80">
        <v>35.43</v>
      </c>
      <c r="BW80">
        <v>8.34</v>
      </c>
      <c r="BX80" s="26">
        <v>0</v>
      </c>
      <c r="BY80" s="26">
        <v>0</v>
      </c>
      <c r="BZ80">
        <v>9.5500000000000007</v>
      </c>
      <c r="CA80">
        <v>73.33</v>
      </c>
      <c r="CB80">
        <v>0</v>
      </c>
    </row>
    <row r="81" spans="1:80" x14ac:dyDescent="0.25">
      <c r="A81" s="26">
        <v>677</v>
      </c>
      <c r="B81" s="26" t="s">
        <v>136</v>
      </c>
      <c r="C81" s="26" t="s">
        <v>82</v>
      </c>
      <c r="D81" s="26" t="s">
        <v>13</v>
      </c>
      <c r="E81" s="1">
        <v>4</v>
      </c>
      <c r="F81" s="5">
        <v>30.72</v>
      </c>
      <c r="G81" s="1">
        <v>122.88</v>
      </c>
      <c r="H81" s="1">
        <v>35.43</v>
      </c>
      <c r="I81" s="1">
        <v>141.72</v>
      </c>
      <c r="J81" s="1">
        <v>18.840000000000003</v>
      </c>
      <c r="K81" s="5" t="s">
        <v>90</v>
      </c>
      <c r="L81" s="26" t="s">
        <v>441</v>
      </c>
      <c r="M81" s="26" t="s">
        <v>60</v>
      </c>
      <c r="N81" s="26" t="s">
        <v>60</v>
      </c>
      <c r="O81" s="26" t="s">
        <v>60</v>
      </c>
      <c r="P81" s="26" t="s">
        <v>60</v>
      </c>
      <c r="Q81" s="26" t="s">
        <v>60</v>
      </c>
      <c r="R81" s="26" t="s">
        <v>60</v>
      </c>
      <c r="S81" s="26" t="s">
        <v>90</v>
      </c>
      <c r="T81" s="26" t="s">
        <v>441</v>
      </c>
      <c r="U81" s="26" t="s">
        <v>424</v>
      </c>
      <c r="V81" s="26" t="s">
        <v>425</v>
      </c>
      <c r="W81" s="26" t="s">
        <v>60</v>
      </c>
      <c r="X81" s="26" t="s">
        <v>60</v>
      </c>
      <c r="Y81" s="26" t="s">
        <v>55</v>
      </c>
      <c r="Z81" s="26" t="s">
        <v>56</v>
      </c>
      <c r="AA81" s="26" t="s">
        <v>90</v>
      </c>
      <c r="AB81" s="26" t="s">
        <v>442</v>
      </c>
      <c r="AC81" s="26" t="s">
        <v>135</v>
      </c>
      <c r="AD81" s="26" t="s">
        <v>294</v>
      </c>
      <c r="AE81" s="26" t="s">
        <v>60</v>
      </c>
      <c r="AF81" s="26" t="s">
        <v>60</v>
      </c>
      <c r="AG81" s="26" t="s">
        <v>60</v>
      </c>
      <c r="AH81" s="26" t="s">
        <v>60</v>
      </c>
      <c r="AI81">
        <v>0</v>
      </c>
      <c r="AJ81">
        <v>0</v>
      </c>
      <c r="AK81" t="s">
        <v>60</v>
      </c>
      <c r="AL81" t="s">
        <v>60</v>
      </c>
      <c r="AM81" s="26" t="s">
        <v>57</v>
      </c>
      <c r="AN81" s="26" t="s">
        <v>58</v>
      </c>
      <c r="AO81" s="26" t="s">
        <v>431</v>
      </c>
      <c r="AP81" s="26" t="s">
        <v>491</v>
      </c>
      <c r="AQ81">
        <v>4</v>
      </c>
      <c r="AR81">
        <v>122.88</v>
      </c>
      <c r="AS81" s="26" t="s">
        <v>60</v>
      </c>
      <c r="AT81" s="26" t="s">
        <v>60</v>
      </c>
      <c r="AU81" s="26" t="s">
        <v>60</v>
      </c>
      <c r="AV81" s="26" t="s">
        <v>59</v>
      </c>
      <c r="AW81" s="26" t="s">
        <v>501</v>
      </c>
      <c r="AX81" s="26" t="s">
        <v>501</v>
      </c>
      <c r="AY81" s="26" t="s">
        <v>503</v>
      </c>
      <c r="AZ81" s="26" t="s">
        <v>504</v>
      </c>
      <c r="BA81" s="26" t="s">
        <v>502</v>
      </c>
      <c r="BB81" s="26" t="s">
        <v>191</v>
      </c>
      <c r="BC81" s="26"/>
      <c r="BD81" s="26"/>
      <c r="BE81" s="26"/>
      <c r="BF81" s="26"/>
      <c r="BG81" s="26"/>
      <c r="BH81" s="26"/>
      <c r="BI81" s="26"/>
      <c r="BJ81" s="26"/>
      <c r="BK81" s="26"/>
      <c r="BL81" s="26" t="s">
        <v>194</v>
      </c>
      <c r="BM81" s="6">
        <v>45207</v>
      </c>
      <c r="BN81" s="26" t="s">
        <v>138</v>
      </c>
      <c r="BO81" s="26" t="s">
        <v>139</v>
      </c>
      <c r="BP81" s="26" t="s">
        <v>75</v>
      </c>
      <c r="BQ81">
        <v>126.68</v>
      </c>
      <c r="BR81">
        <v>219.58</v>
      </c>
      <c r="BS81">
        <v>187.9</v>
      </c>
      <c r="BT81">
        <v>295.27999999999997</v>
      </c>
      <c r="BU81">
        <v>14.07</v>
      </c>
      <c r="BV81">
        <v>35.43</v>
      </c>
      <c r="BW81">
        <v>8.34</v>
      </c>
      <c r="BX81" s="26">
        <v>0</v>
      </c>
      <c r="BY81" s="26">
        <v>0</v>
      </c>
      <c r="BZ81">
        <v>9.5500000000000007</v>
      </c>
      <c r="CA81">
        <v>73.33</v>
      </c>
      <c r="CB81">
        <v>0</v>
      </c>
    </row>
    <row r="82" spans="1:80" x14ac:dyDescent="0.25">
      <c r="A82" s="26">
        <v>677</v>
      </c>
      <c r="B82" s="26" t="s">
        <v>136</v>
      </c>
      <c r="C82" s="26" t="s">
        <v>82</v>
      </c>
      <c r="D82" s="26" t="s">
        <v>25</v>
      </c>
      <c r="E82" s="1">
        <v>5</v>
      </c>
      <c r="F82" s="5">
        <v>52.9</v>
      </c>
      <c r="G82" s="1">
        <v>264.5</v>
      </c>
      <c r="H82" s="1">
        <v>73.33</v>
      </c>
      <c r="I82" s="1">
        <v>366.65</v>
      </c>
      <c r="J82" s="1">
        <v>102.14999999999998</v>
      </c>
      <c r="K82" s="5" t="s">
        <v>90</v>
      </c>
      <c r="L82" s="26" t="s">
        <v>441</v>
      </c>
      <c r="M82" s="26" t="s">
        <v>60</v>
      </c>
      <c r="N82" s="26" t="s">
        <v>60</v>
      </c>
      <c r="O82" s="26" t="s">
        <v>60</v>
      </c>
      <c r="P82" s="26" t="s">
        <v>60</v>
      </c>
      <c r="Q82" s="26" t="s">
        <v>60</v>
      </c>
      <c r="R82" s="26" t="s">
        <v>60</v>
      </c>
      <c r="S82" s="26" t="s">
        <v>90</v>
      </c>
      <c r="T82" s="26" t="s">
        <v>441</v>
      </c>
      <c r="U82" s="26" t="s">
        <v>424</v>
      </c>
      <c r="V82" s="26" t="s">
        <v>425</v>
      </c>
      <c r="W82" s="26" t="s">
        <v>60</v>
      </c>
      <c r="X82" s="26" t="s">
        <v>60</v>
      </c>
      <c r="Y82" s="26" t="s">
        <v>55</v>
      </c>
      <c r="Z82" s="26" t="s">
        <v>56</v>
      </c>
      <c r="AA82" s="26" t="s">
        <v>90</v>
      </c>
      <c r="AB82" s="26" t="s">
        <v>442</v>
      </c>
      <c r="AC82" s="26" t="s">
        <v>135</v>
      </c>
      <c r="AD82" s="26" t="s">
        <v>294</v>
      </c>
      <c r="AE82" s="26" t="s">
        <v>60</v>
      </c>
      <c r="AF82" s="26" t="s">
        <v>60</v>
      </c>
      <c r="AG82" s="26" t="s">
        <v>60</v>
      </c>
      <c r="AH82" s="26" t="s">
        <v>60</v>
      </c>
      <c r="AI82" t="s">
        <v>60</v>
      </c>
      <c r="AJ82" t="s">
        <v>60</v>
      </c>
      <c r="AK82">
        <v>0</v>
      </c>
      <c r="AL82">
        <v>0</v>
      </c>
      <c r="AM82" s="26" t="s">
        <v>57</v>
      </c>
      <c r="AN82" s="26" t="s">
        <v>58</v>
      </c>
      <c r="AO82" s="26">
        <v>5</v>
      </c>
      <c r="AP82" s="26">
        <v>264.5</v>
      </c>
      <c r="AQ82" t="s">
        <v>133</v>
      </c>
      <c r="AR82" t="s">
        <v>305</v>
      </c>
      <c r="AS82" s="26" t="s">
        <v>60</v>
      </c>
      <c r="AT82" s="26" t="s">
        <v>60</v>
      </c>
      <c r="AU82" s="26" t="s">
        <v>60</v>
      </c>
      <c r="AV82" s="26" t="s">
        <v>59</v>
      </c>
      <c r="AW82" s="26" t="s">
        <v>501</v>
      </c>
      <c r="AX82" s="26" t="s">
        <v>501</v>
      </c>
      <c r="AY82" s="26" t="s">
        <v>503</v>
      </c>
      <c r="AZ82" s="26" t="s">
        <v>504</v>
      </c>
      <c r="BA82" s="26" t="s">
        <v>502</v>
      </c>
      <c r="BB82" s="26" t="s">
        <v>191</v>
      </c>
      <c r="BC82" s="26" t="s">
        <v>60</v>
      </c>
      <c r="BD82" s="26" t="s">
        <v>60</v>
      </c>
      <c r="BE82" s="26" t="s">
        <v>304</v>
      </c>
      <c r="BF82" s="26" t="s">
        <v>239</v>
      </c>
      <c r="BG82" s="26" t="s">
        <v>559</v>
      </c>
      <c r="BH82" s="26" t="s">
        <v>60</v>
      </c>
      <c r="BI82" s="26" t="s">
        <v>60</v>
      </c>
      <c r="BJ82" s="26" t="s">
        <v>60</v>
      </c>
      <c r="BK82" s="26" t="s">
        <v>60</v>
      </c>
      <c r="BL82" s="26" t="s">
        <v>194</v>
      </c>
      <c r="BM82" s="6">
        <v>45207</v>
      </c>
      <c r="BN82" s="26" t="s">
        <v>138</v>
      </c>
      <c r="BO82" s="26" t="s">
        <v>139</v>
      </c>
      <c r="BP82" s="26" t="s">
        <v>75</v>
      </c>
      <c r="BQ82">
        <v>126.68</v>
      </c>
      <c r="BR82">
        <v>219.58</v>
      </c>
      <c r="BS82">
        <v>187.9</v>
      </c>
      <c r="BT82">
        <v>295.27999999999997</v>
      </c>
      <c r="BU82">
        <v>14.07</v>
      </c>
      <c r="BV82">
        <v>35.43</v>
      </c>
      <c r="BW82">
        <v>8.34</v>
      </c>
      <c r="BX82" s="26">
        <v>0</v>
      </c>
      <c r="BY82" s="26">
        <v>0</v>
      </c>
      <c r="BZ82">
        <v>9.5500000000000007</v>
      </c>
      <c r="CA82">
        <v>73.33</v>
      </c>
      <c r="CB82">
        <v>0</v>
      </c>
    </row>
    <row r="83" spans="1:80" x14ac:dyDescent="0.25">
      <c r="A83" s="26">
        <v>940</v>
      </c>
      <c r="B83" s="26" t="s">
        <v>359</v>
      </c>
      <c r="C83" s="26" t="s">
        <v>360</v>
      </c>
      <c r="D83" s="26" t="s">
        <v>18</v>
      </c>
      <c r="E83" s="1">
        <v>8</v>
      </c>
      <c r="F83" s="5">
        <v>84.4</v>
      </c>
      <c r="G83" s="1">
        <v>675.2</v>
      </c>
      <c r="H83" s="1">
        <v>123.63</v>
      </c>
      <c r="I83" s="1">
        <v>989.04</v>
      </c>
      <c r="J83" s="1">
        <v>313.83999999999992</v>
      </c>
      <c r="K83" s="5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M83" s="26"/>
      <c r="AN83" s="26"/>
      <c r="AO83" s="26"/>
      <c r="AP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6">
        <v>45202</v>
      </c>
      <c r="BN83" s="26" t="s">
        <v>45</v>
      </c>
      <c r="BO83" s="26" t="s">
        <v>172</v>
      </c>
      <c r="BP83" s="26" t="s">
        <v>28</v>
      </c>
      <c r="BQ83">
        <v>123.63</v>
      </c>
      <c r="BR83">
        <v>237.48</v>
      </c>
      <c r="BS83">
        <v>206.93</v>
      </c>
      <c r="BT83">
        <v>299.92</v>
      </c>
      <c r="BU83">
        <v>9.81</v>
      </c>
      <c r="BV83">
        <v>38.76</v>
      </c>
      <c r="BW83">
        <v>7.67</v>
      </c>
      <c r="BX83" s="26">
        <v>0</v>
      </c>
      <c r="BY83" s="26">
        <v>0</v>
      </c>
      <c r="BZ83">
        <v>8.7899999999999991</v>
      </c>
      <c r="CA83">
        <v>68.58</v>
      </c>
      <c r="CB83">
        <v>2.79</v>
      </c>
    </row>
    <row r="84" spans="1:80" x14ac:dyDescent="0.25">
      <c r="A84" s="26">
        <v>940</v>
      </c>
      <c r="B84" s="26" t="s">
        <v>359</v>
      </c>
      <c r="C84" s="26" t="s">
        <v>360</v>
      </c>
      <c r="D84" s="26" t="s">
        <v>19</v>
      </c>
      <c r="E84" s="1">
        <v>2</v>
      </c>
      <c r="F84" s="5">
        <v>168.8</v>
      </c>
      <c r="G84" s="1">
        <v>337.6</v>
      </c>
      <c r="H84" s="1">
        <v>206.93</v>
      </c>
      <c r="I84" s="1">
        <v>413.86</v>
      </c>
      <c r="J84" s="1">
        <v>76.259999999999991</v>
      </c>
      <c r="K84" s="5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M84" s="26"/>
      <c r="AN84" s="26"/>
      <c r="AO84" s="26"/>
      <c r="AP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6">
        <v>45202</v>
      </c>
      <c r="BN84" s="26" t="s">
        <v>45</v>
      </c>
      <c r="BO84" s="26" t="s">
        <v>172</v>
      </c>
      <c r="BP84" s="26" t="s">
        <v>28</v>
      </c>
      <c r="BQ84">
        <v>123.63</v>
      </c>
      <c r="BR84">
        <v>237.48</v>
      </c>
      <c r="BS84">
        <v>206.93</v>
      </c>
      <c r="BT84">
        <v>299.92</v>
      </c>
      <c r="BU84">
        <v>9.81</v>
      </c>
      <c r="BV84">
        <v>38.76</v>
      </c>
      <c r="BW84">
        <v>7.67</v>
      </c>
      <c r="BX84" s="26">
        <v>0</v>
      </c>
      <c r="BY84" s="26">
        <v>0</v>
      </c>
      <c r="BZ84">
        <v>8.7899999999999991</v>
      </c>
      <c r="CA84">
        <v>68.58</v>
      </c>
      <c r="CB84">
        <v>2.79</v>
      </c>
    </row>
    <row r="85" spans="1:80" x14ac:dyDescent="0.25">
      <c r="A85" s="26">
        <v>940</v>
      </c>
      <c r="B85" s="26" t="s">
        <v>359</v>
      </c>
      <c r="C85" s="26" t="s">
        <v>360</v>
      </c>
      <c r="D85" s="26" t="s">
        <v>18</v>
      </c>
      <c r="E85" s="1">
        <v>8</v>
      </c>
      <c r="F85" s="5">
        <v>84.4</v>
      </c>
      <c r="G85" s="1">
        <v>675.2</v>
      </c>
      <c r="H85" s="1">
        <v>123.63</v>
      </c>
      <c r="I85" s="1">
        <v>989.04</v>
      </c>
      <c r="J85" s="1">
        <v>313.83999999999992</v>
      </c>
      <c r="K85" s="5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M85" s="26"/>
      <c r="AN85" s="26"/>
      <c r="AO85" s="26"/>
      <c r="AP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6">
        <v>45203</v>
      </c>
      <c r="BN85" s="26" t="s">
        <v>45</v>
      </c>
      <c r="BO85" s="26" t="s">
        <v>172</v>
      </c>
      <c r="BP85" s="26" t="s">
        <v>28</v>
      </c>
      <c r="BQ85">
        <v>123.63</v>
      </c>
      <c r="BR85">
        <v>237.48</v>
      </c>
      <c r="BS85">
        <v>206.93</v>
      </c>
      <c r="BT85">
        <v>299.92</v>
      </c>
      <c r="BU85">
        <v>9.81</v>
      </c>
      <c r="BV85">
        <v>38.76</v>
      </c>
      <c r="BW85">
        <v>7.67</v>
      </c>
      <c r="BX85" s="26">
        <v>0</v>
      </c>
      <c r="BY85" s="26">
        <v>0</v>
      </c>
      <c r="BZ85">
        <v>8.7899999999999991</v>
      </c>
      <c r="CA85">
        <v>68.58</v>
      </c>
      <c r="CB85">
        <v>2.79</v>
      </c>
    </row>
    <row r="86" spans="1:80" x14ac:dyDescent="0.25">
      <c r="A86" s="26">
        <v>940</v>
      </c>
      <c r="B86" s="26" t="s">
        <v>359</v>
      </c>
      <c r="C86" s="26" t="s">
        <v>360</v>
      </c>
      <c r="D86" s="26" t="s">
        <v>19</v>
      </c>
      <c r="E86" s="1">
        <v>2</v>
      </c>
      <c r="F86" s="5">
        <v>168.8</v>
      </c>
      <c r="G86" s="1">
        <v>337.6</v>
      </c>
      <c r="H86" s="1">
        <v>206.93</v>
      </c>
      <c r="I86" s="1">
        <v>413.86</v>
      </c>
      <c r="J86" s="1">
        <v>76.259999999999991</v>
      </c>
      <c r="K86" s="5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M86" s="26"/>
      <c r="AN86" s="26"/>
      <c r="AO86" s="26"/>
      <c r="AP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6">
        <v>45203</v>
      </c>
      <c r="BN86" s="26" t="s">
        <v>45</v>
      </c>
      <c r="BO86" s="26" t="s">
        <v>172</v>
      </c>
      <c r="BP86" s="26" t="s">
        <v>28</v>
      </c>
      <c r="BQ86">
        <v>123.63</v>
      </c>
      <c r="BR86">
        <v>237.48</v>
      </c>
      <c r="BS86">
        <v>206.93</v>
      </c>
      <c r="BT86">
        <v>299.92</v>
      </c>
      <c r="BU86">
        <v>9.81</v>
      </c>
      <c r="BV86">
        <v>38.76</v>
      </c>
      <c r="BW86">
        <v>7.67</v>
      </c>
      <c r="BX86" s="26">
        <v>0</v>
      </c>
      <c r="BY86" s="26">
        <v>0</v>
      </c>
      <c r="BZ86">
        <v>8.7899999999999991</v>
      </c>
      <c r="CA86">
        <v>68.58</v>
      </c>
      <c r="CB86">
        <v>2.79</v>
      </c>
    </row>
    <row r="87" spans="1:80" x14ac:dyDescent="0.25">
      <c r="A87" s="26">
        <v>940</v>
      </c>
      <c r="B87" s="26" t="s">
        <v>359</v>
      </c>
      <c r="C87" s="26" t="s">
        <v>360</v>
      </c>
      <c r="D87" s="26" t="s">
        <v>18</v>
      </c>
      <c r="E87" s="1">
        <v>8</v>
      </c>
      <c r="F87" s="5">
        <v>84.4</v>
      </c>
      <c r="G87" s="1">
        <v>675.2</v>
      </c>
      <c r="H87" s="1">
        <v>123.63</v>
      </c>
      <c r="I87" s="1">
        <v>989.04</v>
      </c>
      <c r="J87" s="1">
        <v>313.83999999999992</v>
      </c>
      <c r="K87" s="5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M87" s="26"/>
      <c r="AN87" s="26"/>
      <c r="AO87" s="26"/>
      <c r="AP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6">
        <v>45204</v>
      </c>
      <c r="BN87" s="26" t="s">
        <v>45</v>
      </c>
      <c r="BO87" s="26" t="s">
        <v>172</v>
      </c>
      <c r="BP87" s="26" t="s">
        <v>28</v>
      </c>
      <c r="BQ87">
        <v>123.63</v>
      </c>
      <c r="BR87">
        <v>237.48</v>
      </c>
      <c r="BS87">
        <v>206.93</v>
      </c>
      <c r="BT87">
        <v>299.92</v>
      </c>
      <c r="BU87">
        <v>9.81</v>
      </c>
      <c r="BV87">
        <v>38.76</v>
      </c>
      <c r="BW87">
        <v>7.67</v>
      </c>
      <c r="BX87" s="26">
        <v>0</v>
      </c>
      <c r="BY87" s="26">
        <v>0</v>
      </c>
      <c r="BZ87">
        <v>8.7899999999999991</v>
      </c>
      <c r="CA87">
        <v>68.58</v>
      </c>
      <c r="CB87">
        <v>2.79</v>
      </c>
    </row>
    <row r="88" spans="1:80" x14ac:dyDescent="0.25">
      <c r="A88" s="26">
        <v>940</v>
      </c>
      <c r="B88" s="26" t="s">
        <v>359</v>
      </c>
      <c r="C88" s="26" t="s">
        <v>360</v>
      </c>
      <c r="D88" s="26" t="s">
        <v>19</v>
      </c>
      <c r="E88" s="1">
        <v>2</v>
      </c>
      <c r="F88" s="5">
        <v>168.8</v>
      </c>
      <c r="G88" s="1">
        <v>337.6</v>
      </c>
      <c r="H88" s="1">
        <v>206.93</v>
      </c>
      <c r="I88" s="1">
        <v>413.86</v>
      </c>
      <c r="J88" s="1">
        <v>76.259999999999991</v>
      </c>
      <c r="K88" s="5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M88" s="26"/>
      <c r="AN88" s="26"/>
      <c r="AO88" s="26"/>
      <c r="AP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6">
        <v>45204</v>
      </c>
      <c r="BN88" s="26" t="s">
        <v>45</v>
      </c>
      <c r="BO88" s="26" t="s">
        <v>172</v>
      </c>
      <c r="BP88" s="26" t="s">
        <v>28</v>
      </c>
      <c r="BQ88">
        <v>123.63</v>
      </c>
      <c r="BR88">
        <v>237.48</v>
      </c>
      <c r="BS88">
        <v>206.93</v>
      </c>
      <c r="BT88">
        <v>299.92</v>
      </c>
      <c r="BU88">
        <v>9.81</v>
      </c>
      <c r="BV88">
        <v>38.76</v>
      </c>
      <c r="BW88">
        <v>7.67</v>
      </c>
      <c r="BX88" s="26">
        <v>0</v>
      </c>
      <c r="BY88" s="26">
        <v>0</v>
      </c>
      <c r="BZ88">
        <v>8.7899999999999991</v>
      </c>
      <c r="CA88">
        <v>68.58</v>
      </c>
      <c r="CB88">
        <v>2.79</v>
      </c>
    </row>
    <row r="89" spans="1:80" x14ac:dyDescent="0.25">
      <c r="A89" s="26">
        <v>940</v>
      </c>
      <c r="B89" s="26" t="s">
        <v>359</v>
      </c>
      <c r="C89" s="26" t="s">
        <v>360</v>
      </c>
      <c r="D89" s="26" t="s">
        <v>18</v>
      </c>
      <c r="E89" s="1">
        <v>8</v>
      </c>
      <c r="F89" s="5">
        <v>84.4</v>
      </c>
      <c r="G89" s="1">
        <v>675.2</v>
      </c>
      <c r="H89" s="1">
        <v>123.63</v>
      </c>
      <c r="I89" s="1">
        <v>989.04</v>
      </c>
      <c r="J89" s="1">
        <v>313.83999999999992</v>
      </c>
      <c r="K89" s="5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M89" s="26"/>
      <c r="AN89" s="26"/>
      <c r="AO89" s="26"/>
      <c r="AP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6">
        <v>45205</v>
      </c>
      <c r="BN89" s="26" t="s">
        <v>45</v>
      </c>
      <c r="BO89" s="26" t="s">
        <v>172</v>
      </c>
      <c r="BP89" s="26" t="s">
        <v>28</v>
      </c>
      <c r="BQ89">
        <v>123.63</v>
      </c>
      <c r="BR89">
        <v>237.48</v>
      </c>
      <c r="BS89">
        <v>206.93</v>
      </c>
      <c r="BT89">
        <v>299.92</v>
      </c>
      <c r="BU89">
        <v>9.81</v>
      </c>
      <c r="BV89">
        <v>38.76</v>
      </c>
      <c r="BW89">
        <v>7.67</v>
      </c>
      <c r="BX89" s="26">
        <v>0</v>
      </c>
      <c r="BY89" s="26">
        <v>0</v>
      </c>
      <c r="BZ89">
        <v>8.7899999999999991</v>
      </c>
      <c r="CA89">
        <v>68.58</v>
      </c>
      <c r="CB89">
        <v>2.79</v>
      </c>
    </row>
    <row r="90" spans="1:80" x14ac:dyDescent="0.25">
      <c r="A90" s="26">
        <v>940</v>
      </c>
      <c r="B90" s="26" t="s">
        <v>359</v>
      </c>
      <c r="C90" s="26" t="s">
        <v>360</v>
      </c>
      <c r="D90" s="26" t="s">
        <v>19</v>
      </c>
      <c r="E90" s="1">
        <v>2</v>
      </c>
      <c r="F90" s="5">
        <v>168.8</v>
      </c>
      <c r="G90" s="1">
        <v>337.6</v>
      </c>
      <c r="H90" s="1">
        <v>206.93</v>
      </c>
      <c r="I90" s="1">
        <v>413.86</v>
      </c>
      <c r="J90" s="1">
        <v>76.259999999999991</v>
      </c>
      <c r="K90" s="5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M90" s="26"/>
      <c r="AN90" s="26"/>
      <c r="AO90" s="26"/>
      <c r="AP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6">
        <v>45205</v>
      </c>
      <c r="BN90" s="26" t="s">
        <v>45</v>
      </c>
      <c r="BO90" s="26" t="s">
        <v>172</v>
      </c>
      <c r="BP90" s="26" t="s">
        <v>28</v>
      </c>
      <c r="BQ90">
        <v>123.63</v>
      </c>
      <c r="BR90">
        <v>237.48</v>
      </c>
      <c r="BS90">
        <v>206.93</v>
      </c>
      <c r="BT90">
        <v>299.92</v>
      </c>
      <c r="BU90">
        <v>9.81</v>
      </c>
      <c r="BV90">
        <v>38.76</v>
      </c>
      <c r="BW90">
        <v>7.67</v>
      </c>
      <c r="BX90" s="26">
        <v>0</v>
      </c>
      <c r="BY90" s="26">
        <v>0</v>
      </c>
      <c r="BZ90">
        <v>8.7899999999999991</v>
      </c>
      <c r="CA90">
        <v>68.58</v>
      </c>
      <c r="CB90">
        <v>2.79</v>
      </c>
    </row>
    <row r="91" spans="1:80" x14ac:dyDescent="0.25">
      <c r="A91" s="26">
        <v>940</v>
      </c>
      <c r="B91" s="26" t="s">
        <v>359</v>
      </c>
      <c r="C91" s="26" t="s">
        <v>360</v>
      </c>
      <c r="D91" s="26" t="s">
        <v>19</v>
      </c>
      <c r="E91" s="1">
        <v>6.5</v>
      </c>
      <c r="F91" s="5">
        <v>168.8</v>
      </c>
      <c r="G91" s="1">
        <v>1097.2</v>
      </c>
      <c r="H91" s="1">
        <v>206.93</v>
      </c>
      <c r="I91" s="1">
        <v>1345.0450000000001</v>
      </c>
      <c r="J91" s="1">
        <v>247.84500000000003</v>
      </c>
      <c r="K91" s="5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M91" s="26"/>
      <c r="AN91" s="26"/>
      <c r="AO91" s="26"/>
      <c r="AP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6">
        <v>45206</v>
      </c>
      <c r="BN91" s="26" t="s">
        <v>45</v>
      </c>
      <c r="BO91" s="26" t="s">
        <v>172</v>
      </c>
      <c r="BP91" s="26" t="s">
        <v>28</v>
      </c>
      <c r="BQ91">
        <v>123.63</v>
      </c>
      <c r="BR91">
        <v>237.48</v>
      </c>
      <c r="BS91">
        <v>206.93</v>
      </c>
      <c r="BT91">
        <v>299.92</v>
      </c>
      <c r="BU91">
        <v>9.81</v>
      </c>
      <c r="BV91">
        <v>38.76</v>
      </c>
      <c r="BW91">
        <v>7.67</v>
      </c>
      <c r="BX91" s="26">
        <v>0</v>
      </c>
      <c r="BY91" s="26">
        <v>0</v>
      </c>
      <c r="BZ91">
        <v>8.7899999999999991</v>
      </c>
      <c r="CA91">
        <v>68.58</v>
      </c>
      <c r="CB91">
        <v>2.79</v>
      </c>
    </row>
    <row r="92" spans="1:80" x14ac:dyDescent="0.25">
      <c r="A92" s="26">
        <v>940</v>
      </c>
      <c r="B92" s="26" t="s">
        <v>369</v>
      </c>
      <c r="C92" s="26" t="s">
        <v>360</v>
      </c>
      <c r="D92" s="26" t="s">
        <v>22</v>
      </c>
      <c r="E92" s="1">
        <v>46.5</v>
      </c>
      <c r="F92" s="5">
        <v>7.7</v>
      </c>
      <c r="G92" s="1">
        <v>358.05</v>
      </c>
      <c r="H92" s="1">
        <v>9.81</v>
      </c>
      <c r="I92" s="1">
        <v>456.16500000000002</v>
      </c>
      <c r="J92" s="1">
        <v>98.115000000000009</v>
      </c>
      <c r="K92" s="5" t="s">
        <v>135</v>
      </c>
      <c r="L92" s="26" t="s">
        <v>326</v>
      </c>
      <c r="M92" s="26" t="s">
        <v>447</v>
      </c>
      <c r="N92" s="26" t="s">
        <v>448</v>
      </c>
      <c r="O92" s="26" t="s">
        <v>60</v>
      </c>
      <c r="P92" s="26" t="s">
        <v>60</v>
      </c>
      <c r="Q92" s="26" t="s">
        <v>60</v>
      </c>
      <c r="R92" s="26" t="s">
        <v>60</v>
      </c>
      <c r="S92" s="26" t="s">
        <v>60</v>
      </c>
      <c r="T92" s="26" t="s">
        <v>60</v>
      </c>
      <c r="U92" s="26" t="s">
        <v>233</v>
      </c>
      <c r="V92" s="26" t="s">
        <v>328</v>
      </c>
      <c r="W92" s="26" t="s">
        <v>60</v>
      </c>
      <c r="X92" s="26" t="s">
        <v>60</v>
      </c>
      <c r="Y92" s="26" t="s">
        <v>55</v>
      </c>
      <c r="Z92" s="26" t="s">
        <v>56</v>
      </c>
      <c r="AA92" s="26" t="s">
        <v>60</v>
      </c>
      <c r="AB92" s="26" t="s">
        <v>60</v>
      </c>
      <c r="AC92" s="26" t="s">
        <v>60</v>
      </c>
      <c r="AD92" s="26" t="s">
        <v>60</v>
      </c>
      <c r="AE92" s="26" t="s">
        <v>60</v>
      </c>
      <c r="AF92" s="26" t="s">
        <v>60</v>
      </c>
      <c r="AG92" s="26" t="s">
        <v>447</v>
      </c>
      <c r="AH92" s="26" t="s">
        <v>449</v>
      </c>
      <c r="AI92" t="s">
        <v>431</v>
      </c>
      <c r="AJ92" t="s">
        <v>433</v>
      </c>
      <c r="AK92" t="s">
        <v>431</v>
      </c>
      <c r="AL92" t="s">
        <v>432</v>
      </c>
      <c r="AM92" s="26" t="s">
        <v>57</v>
      </c>
      <c r="AN92" s="26" t="s">
        <v>58</v>
      </c>
      <c r="AO92" s="26"/>
      <c r="AP92" s="26"/>
      <c r="AS92" s="26"/>
      <c r="AT92" s="26"/>
      <c r="AU92" s="26"/>
      <c r="AV92" s="26" t="s">
        <v>59</v>
      </c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6">
        <v>45207</v>
      </c>
      <c r="BN92" s="26" t="s">
        <v>45</v>
      </c>
      <c r="BO92" s="26" t="s">
        <v>172</v>
      </c>
      <c r="BP92" s="26" t="s">
        <v>28</v>
      </c>
      <c r="BQ92">
        <v>123.63</v>
      </c>
      <c r="BR92">
        <v>237.48</v>
      </c>
      <c r="BS92">
        <v>206.93</v>
      </c>
      <c r="BT92">
        <v>299.92</v>
      </c>
      <c r="BU92">
        <v>9.81</v>
      </c>
      <c r="BV92">
        <v>38.76</v>
      </c>
      <c r="BW92">
        <v>7.67</v>
      </c>
      <c r="BX92" s="26">
        <v>0</v>
      </c>
      <c r="BY92" s="26">
        <v>0</v>
      </c>
      <c r="BZ92">
        <v>8.7899999999999991</v>
      </c>
      <c r="CA92">
        <v>68.58</v>
      </c>
      <c r="CB92">
        <v>2.79</v>
      </c>
    </row>
    <row r="93" spans="1:80" x14ac:dyDescent="0.25">
      <c r="A93" s="26">
        <v>940</v>
      </c>
      <c r="B93" s="26" t="s">
        <v>369</v>
      </c>
      <c r="C93" s="26" t="s">
        <v>360</v>
      </c>
      <c r="D93" s="26" t="s">
        <v>13</v>
      </c>
      <c r="E93" s="1">
        <v>5</v>
      </c>
      <c r="F93" s="5">
        <v>36.089999999999996</v>
      </c>
      <c r="G93" s="1">
        <v>180.45</v>
      </c>
      <c r="H93" s="1">
        <v>38.76</v>
      </c>
      <c r="I93" s="1">
        <v>193.79999999999998</v>
      </c>
      <c r="J93" s="1">
        <v>13.349999999999994</v>
      </c>
      <c r="K93" s="5" t="s">
        <v>135</v>
      </c>
      <c r="L93" s="26" t="s">
        <v>326</v>
      </c>
      <c r="M93" s="26" t="s">
        <v>447</v>
      </c>
      <c r="N93" s="26" t="s">
        <v>448</v>
      </c>
      <c r="O93" s="26" t="s">
        <v>60</v>
      </c>
      <c r="P93" s="26" t="s">
        <v>60</v>
      </c>
      <c r="Q93" s="26" t="s">
        <v>60</v>
      </c>
      <c r="R93" s="26" t="s">
        <v>60</v>
      </c>
      <c r="S93" s="26" t="s">
        <v>60</v>
      </c>
      <c r="T93" s="26" t="s">
        <v>60</v>
      </c>
      <c r="U93" s="26" t="s">
        <v>233</v>
      </c>
      <c r="V93" s="26" t="s">
        <v>328</v>
      </c>
      <c r="W93" s="26" t="s">
        <v>60</v>
      </c>
      <c r="X93" s="26" t="s">
        <v>60</v>
      </c>
      <c r="Y93" s="26" t="s">
        <v>55</v>
      </c>
      <c r="Z93" s="26" t="s">
        <v>56</v>
      </c>
      <c r="AA93" s="26" t="s">
        <v>60</v>
      </c>
      <c r="AB93" s="26" t="s">
        <v>60</v>
      </c>
      <c r="AC93" s="26" t="s">
        <v>60</v>
      </c>
      <c r="AD93" s="26" t="s">
        <v>60</v>
      </c>
      <c r="AE93" s="26" t="s">
        <v>60</v>
      </c>
      <c r="AF93" s="26" t="s">
        <v>60</v>
      </c>
      <c r="AG93" s="26" t="s">
        <v>447</v>
      </c>
      <c r="AH93" s="26" t="s">
        <v>449</v>
      </c>
      <c r="AI93">
        <v>5</v>
      </c>
      <c r="AJ93">
        <v>180.45</v>
      </c>
      <c r="AK93" t="s">
        <v>431</v>
      </c>
      <c r="AL93" t="s">
        <v>432</v>
      </c>
      <c r="AM93" s="26" t="s">
        <v>57</v>
      </c>
      <c r="AN93" s="26" t="s">
        <v>58</v>
      </c>
      <c r="AO93" s="26" t="s">
        <v>60</v>
      </c>
      <c r="AP93" s="26" t="s">
        <v>60</v>
      </c>
      <c r="AQ93">
        <v>0</v>
      </c>
      <c r="AR93">
        <v>0</v>
      </c>
      <c r="AS93" s="26" t="s">
        <v>376</v>
      </c>
      <c r="AT93" s="26" t="s">
        <v>60</v>
      </c>
      <c r="AU93" s="26" t="s">
        <v>60</v>
      </c>
      <c r="AV93" s="26" t="s">
        <v>59</v>
      </c>
      <c r="AW93" s="26" t="s">
        <v>505</v>
      </c>
      <c r="AX93" s="26" t="s">
        <v>506</v>
      </c>
      <c r="AY93" s="26" t="s">
        <v>508</v>
      </c>
      <c r="AZ93" s="26" t="s">
        <v>509</v>
      </c>
      <c r="BA93" s="26" t="s">
        <v>507</v>
      </c>
      <c r="BB93" s="26" t="s">
        <v>510</v>
      </c>
      <c r="BC93" s="26"/>
      <c r="BD93" s="26"/>
      <c r="BE93" s="26"/>
      <c r="BF93" s="26"/>
      <c r="BG93" s="26"/>
      <c r="BH93" s="26"/>
      <c r="BI93" s="26"/>
      <c r="BJ93" s="26"/>
      <c r="BK93" s="26"/>
      <c r="BL93" s="26" t="s">
        <v>511</v>
      </c>
      <c r="BM93" s="6">
        <v>45207</v>
      </c>
      <c r="BN93" s="26" t="s">
        <v>45</v>
      </c>
      <c r="BO93" s="26" t="s">
        <v>172</v>
      </c>
      <c r="BP93" s="26" t="s">
        <v>28</v>
      </c>
      <c r="BQ93">
        <v>123.63</v>
      </c>
      <c r="BR93">
        <v>237.48</v>
      </c>
      <c r="BS93">
        <v>206.93</v>
      </c>
      <c r="BT93">
        <v>299.92</v>
      </c>
      <c r="BU93">
        <v>9.81</v>
      </c>
      <c r="BV93">
        <v>38.76</v>
      </c>
      <c r="BW93">
        <v>7.67</v>
      </c>
      <c r="BX93" s="26">
        <v>0</v>
      </c>
      <c r="BY93" s="26">
        <v>0</v>
      </c>
      <c r="BZ93">
        <v>8.7899999999999991</v>
      </c>
      <c r="CA93">
        <v>68.58</v>
      </c>
      <c r="CB93">
        <v>2.79</v>
      </c>
    </row>
    <row r="94" spans="1:80" x14ac:dyDescent="0.25">
      <c r="A94" s="26">
        <v>940</v>
      </c>
      <c r="B94" s="26" t="s">
        <v>369</v>
      </c>
      <c r="C94" s="26" t="s">
        <v>360</v>
      </c>
      <c r="D94" s="26" t="s">
        <v>25</v>
      </c>
      <c r="E94" s="1">
        <v>5</v>
      </c>
      <c r="F94" s="5">
        <v>55</v>
      </c>
      <c r="G94" s="1">
        <v>275</v>
      </c>
      <c r="H94" s="1">
        <v>68.58</v>
      </c>
      <c r="I94" s="1">
        <v>342.9</v>
      </c>
      <c r="J94" s="1">
        <v>67.899999999999977</v>
      </c>
      <c r="K94" s="5" t="s">
        <v>135</v>
      </c>
      <c r="L94" s="26" t="s">
        <v>326</v>
      </c>
      <c r="M94" s="26" t="s">
        <v>447</v>
      </c>
      <c r="N94" s="26" t="s">
        <v>448</v>
      </c>
      <c r="O94" s="26" t="s">
        <v>60</v>
      </c>
      <c r="P94" s="26" t="s">
        <v>60</v>
      </c>
      <c r="Q94" s="26" t="s">
        <v>60</v>
      </c>
      <c r="R94" s="26" t="s">
        <v>60</v>
      </c>
      <c r="S94" s="26" t="s">
        <v>60</v>
      </c>
      <c r="T94" s="26" t="s">
        <v>60</v>
      </c>
      <c r="U94" s="26" t="s">
        <v>233</v>
      </c>
      <c r="V94" s="26" t="s">
        <v>328</v>
      </c>
      <c r="W94" s="26" t="s">
        <v>60</v>
      </c>
      <c r="X94" s="26" t="s">
        <v>60</v>
      </c>
      <c r="Y94" s="26" t="s">
        <v>55</v>
      </c>
      <c r="Z94" s="26" t="s">
        <v>56</v>
      </c>
      <c r="AA94" s="26" t="s">
        <v>60</v>
      </c>
      <c r="AB94" s="26" t="s">
        <v>60</v>
      </c>
      <c r="AC94" s="26" t="s">
        <v>60</v>
      </c>
      <c r="AD94" s="26" t="s">
        <v>60</v>
      </c>
      <c r="AE94" s="26" t="s">
        <v>60</v>
      </c>
      <c r="AF94" s="26" t="s">
        <v>60</v>
      </c>
      <c r="AG94" s="26" t="s">
        <v>447</v>
      </c>
      <c r="AH94" s="26" t="s">
        <v>449</v>
      </c>
      <c r="AI94" t="s">
        <v>431</v>
      </c>
      <c r="AJ94" t="s">
        <v>433</v>
      </c>
      <c r="AK94">
        <v>5</v>
      </c>
      <c r="AL94">
        <v>275</v>
      </c>
      <c r="AM94" s="26" t="s">
        <v>57</v>
      </c>
      <c r="AN94" s="26" t="s">
        <v>58</v>
      </c>
      <c r="AO94" s="26">
        <v>0</v>
      </c>
      <c r="AP94" s="26">
        <v>0</v>
      </c>
      <c r="AQ94" t="s">
        <v>60</v>
      </c>
      <c r="AR94" t="s">
        <v>60</v>
      </c>
      <c r="AS94" s="26" t="s">
        <v>376</v>
      </c>
      <c r="AT94" s="26" t="s">
        <v>60</v>
      </c>
      <c r="AU94" s="26" t="s">
        <v>60</v>
      </c>
      <c r="AV94" s="26" t="s">
        <v>59</v>
      </c>
      <c r="AW94" s="26" t="s">
        <v>505</v>
      </c>
      <c r="AX94" s="26" t="s">
        <v>506</v>
      </c>
      <c r="AY94" s="26" t="s">
        <v>508</v>
      </c>
      <c r="AZ94" s="26" t="s">
        <v>509</v>
      </c>
      <c r="BA94" s="26" t="s">
        <v>507</v>
      </c>
      <c r="BB94" s="26" t="s">
        <v>510</v>
      </c>
      <c r="BC94" s="26" t="s">
        <v>121</v>
      </c>
      <c r="BD94" s="26" t="s">
        <v>564</v>
      </c>
      <c r="BE94" s="26" t="s">
        <v>60</v>
      </c>
      <c r="BF94" s="26" t="s">
        <v>60</v>
      </c>
      <c r="BG94" s="26" t="s">
        <v>60</v>
      </c>
      <c r="BH94" s="26" t="s">
        <v>60</v>
      </c>
      <c r="BI94" s="26" t="s">
        <v>60</v>
      </c>
      <c r="BJ94" s="26" t="s">
        <v>60</v>
      </c>
      <c r="BK94" s="26" t="s">
        <v>60</v>
      </c>
      <c r="BL94" s="26" t="s">
        <v>511</v>
      </c>
      <c r="BM94" s="6">
        <v>45207</v>
      </c>
      <c r="BN94" s="26" t="s">
        <v>45</v>
      </c>
      <c r="BO94" s="26" t="s">
        <v>172</v>
      </c>
      <c r="BP94" s="26" t="s">
        <v>28</v>
      </c>
      <c r="BQ94">
        <v>123.63</v>
      </c>
      <c r="BR94">
        <v>237.48</v>
      </c>
      <c r="BS94">
        <v>206.93</v>
      </c>
      <c r="BT94">
        <v>299.92</v>
      </c>
      <c r="BU94">
        <v>9.81</v>
      </c>
      <c r="BV94">
        <v>38.76</v>
      </c>
      <c r="BW94">
        <v>7.67</v>
      </c>
      <c r="BX94" s="26">
        <v>0</v>
      </c>
      <c r="BY94" s="26">
        <v>0</v>
      </c>
      <c r="BZ94">
        <v>8.7899999999999991</v>
      </c>
      <c r="CA94">
        <v>68.58</v>
      </c>
      <c r="CB94">
        <v>2.79</v>
      </c>
    </row>
    <row r="95" spans="1:80" x14ac:dyDescent="0.25">
      <c r="A95" s="26">
        <v>940</v>
      </c>
      <c r="B95" s="26" t="s">
        <v>369</v>
      </c>
      <c r="C95" s="26" t="s">
        <v>360</v>
      </c>
      <c r="D95" s="26" t="s">
        <v>14</v>
      </c>
      <c r="E95" s="1">
        <v>14.5</v>
      </c>
      <c r="F95" s="5">
        <v>2.48</v>
      </c>
      <c r="G95" s="1">
        <v>35.96</v>
      </c>
      <c r="H95" s="1">
        <v>2.79</v>
      </c>
      <c r="I95" s="1">
        <v>40.454999999999998</v>
      </c>
      <c r="J95" s="1">
        <v>4.4949999999999974</v>
      </c>
      <c r="K95" s="5" t="s">
        <v>135</v>
      </c>
      <c r="L95" s="26" t="s">
        <v>326</v>
      </c>
      <c r="M95" s="26" t="s">
        <v>447</v>
      </c>
      <c r="N95" s="26" t="s">
        <v>448</v>
      </c>
      <c r="O95" s="26" t="s">
        <v>60</v>
      </c>
      <c r="P95" s="26" t="s">
        <v>60</v>
      </c>
      <c r="Q95" s="26" t="s">
        <v>60</v>
      </c>
      <c r="R95" s="26" t="s">
        <v>60</v>
      </c>
      <c r="S95" s="26" t="s">
        <v>60</v>
      </c>
      <c r="T95" s="26" t="s">
        <v>60</v>
      </c>
      <c r="U95" s="26" t="s">
        <v>233</v>
      </c>
      <c r="V95" s="26" t="s">
        <v>328</v>
      </c>
      <c r="W95" s="26" t="s">
        <v>60</v>
      </c>
      <c r="X95" s="26" t="s">
        <v>60</v>
      </c>
      <c r="Y95" s="26" t="s">
        <v>55</v>
      </c>
      <c r="Z95" s="26" t="s">
        <v>56</v>
      </c>
      <c r="AA95" s="26" t="s">
        <v>60</v>
      </c>
      <c r="AB95" s="26" t="s">
        <v>60</v>
      </c>
      <c r="AC95" s="26" t="s">
        <v>60</v>
      </c>
      <c r="AD95" s="26" t="s">
        <v>60</v>
      </c>
      <c r="AE95" s="26" t="s">
        <v>60</v>
      </c>
      <c r="AF95" s="26" t="s">
        <v>60</v>
      </c>
      <c r="AG95" s="26"/>
      <c r="AH95" s="26"/>
      <c r="AI95" t="s">
        <v>431</v>
      </c>
      <c r="AJ95" t="s">
        <v>433</v>
      </c>
      <c r="AK95" t="s">
        <v>431</v>
      </c>
      <c r="AL95" t="s">
        <v>432</v>
      </c>
      <c r="AM95" s="26" t="s">
        <v>57</v>
      </c>
      <c r="AN95" s="26" t="s">
        <v>58</v>
      </c>
      <c r="AO95" s="26" t="s">
        <v>60</v>
      </c>
      <c r="AP95" s="26" t="s">
        <v>60</v>
      </c>
      <c r="AQ95" t="s">
        <v>60</v>
      </c>
      <c r="AR95" t="s">
        <v>60</v>
      </c>
      <c r="AS95" s="26"/>
      <c r="AT95" s="26"/>
      <c r="AU95" s="26"/>
      <c r="AV95" s="26" t="s">
        <v>59</v>
      </c>
      <c r="AW95" s="26"/>
      <c r="AX95" s="26"/>
      <c r="AY95" s="26"/>
      <c r="AZ95" s="26"/>
      <c r="BA95" s="26"/>
      <c r="BB95" s="26" t="s">
        <v>510</v>
      </c>
      <c r="BC95" s="26"/>
      <c r="BD95" s="26"/>
      <c r="BE95" s="26"/>
      <c r="BF95" s="26"/>
      <c r="BG95" s="26"/>
      <c r="BH95" s="26"/>
      <c r="BI95" s="26"/>
      <c r="BJ95" s="26"/>
      <c r="BK95" s="26"/>
      <c r="BL95" s="26" t="s">
        <v>511</v>
      </c>
      <c r="BM95" s="6">
        <v>45207</v>
      </c>
      <c r="BN95" s="26" t="s">
        <v>45</v>
      </c>
      <c r="BO95" s="26" t="s">
        <v>172</v>
      </c>
      <c r="BP95" s="26" t="s">
        <v>28</v>
      </c>
      <c r="BQ95">
        <v>123.63</v>
      </c>
      <c r="BR95">
        <v>237.48</v>
      </c>
      <c r="BS95">
        <v>206.93</v>
      </c>
      <c r="BT95">
        <v>299.92</v>
      </c>
      <c r="BU95">
        <v>9.81</v>
      </c>
      <c r="BV95">
        <v>38.76</v>
      </c>
      <c r="BW95">
        <v>7.67</v>
      </c>
      <c r="BX95" s="26">
        <v>0</v>
      </c>
      <c r="BY95" s="26">
        <v>0</v>
      </c>
      <c r="BZ95">
        <v>8.7899999999999991</v>
      </c>
      <c r="CA95">
        <v>68.58</v>
      </c>
      <c r="CB95">
        <v>2.79</v>
      </c>
    </row>
    <row r="96" spans="1:80" x14ac:dyDescent="0.25">
      <c r="A96" s="26">
        <v>776</v>
      </c>
      <c r="B96" s="26" t="s">
        <v>149</v>
      </c>
      <c r="C96" s="26" t="s">
        <v>150</v>
      </c>
      <c r="D96" s="26" t="s">
        <v>18</v>
      </c>
      <c r="E96" s="1">
        <v>8</v>
      </c>
      <c r="F96" s="5">
        <v>84.4</v>
      </c>
      <c r="G96" s="1">
        <v>675.2</v>
      </c>
      <c r="H96" s="1">
        <v>123.63</v>
      </c>
      <c r="I96" s="1">
        <v>989.04</v>
      </c>
      <c r="J96" s="1">
        <v>313.83999999999992</v>
      </c>
      <c r="K96" s="5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M96" s="26"/>
      <c r="AN96" s="26"/>
      <c r="AO96" s="26"/>
      <c r="AP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6">
        <v>45202</v>
      </c>
      <c r="BN96" s="26" t="s">
        <v>45</v>
      </c>
      <c r="BO96" s="26" t="s">
        <v>172</v>
      </c>
      <c r="BP96" s="26" t="s">
        <v>28</v>
      </c>
      <c r="BQ96">
        <v>123.63</v>
      </c>
      <c r="BR96">
        <v>237.48</v>
      </c>
      <c r="BS96">
        <v>206.93</v>
      </c>
      <c r="BT96">
        <v>299.92</v>
      </c>
      <c r="BU96">
        <v>9.81</v>
      </c>
      <c r="BV96">
        <v>38.76</v>
      </c>
      <c r="BW96">
        <v>7.67</v>
      </c>
      <c r="BX96" s="26">
        <v>0</v>
      </c>
      <c r="BY96" s="26">
        <v>0</v>
      </c>
      <c r="BZ96">
        <v>8.7899999999999991</v>
      </c>
      <c r="CA96">
        <v>68.58</v>
      </c>
      <c r="CB96">
        <v>2.79</v>
      </c>
    </row>
    <row r="97" spans="1:80" x14ac:dyDescent="0.25">
      <c r="A97" s="26">
        <v>776</v>
      </c>
      <c r="B97" s="26" t="s">
        <v>149</v>
      </c>
      <c r="C97" s="26" t="s">
        <v>150</v>
      </c>
      <c r="D97" s="26" t="s">
        <v>19</v>
      </c>
      <c r="E97" s="1">
        <v>3</v>
      </c>
      <c r="F97" s="5">
        <v>168.8</v>
      </c>
      <c r="G97" s="1">
        <v>506.4</v>
      </c>
      <c r="H97" s="1">
        <v>206.93</v>
      </c>
      <c r="I97" s="1">
        <v>620.79</v>
      </c>
      <c r="J97" s="1">
        <v>114.38999999999999</v>
      </c>
      <c r="K97" s="5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M97" s="26"/>
      <c r="AN97" s="26"/>
      <c r="AO97" s="26"/>
      <c r="AP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6">
        <v>45202</v>
      </c>
      <c r="BN97" s="26" t="s">
        <v>45</v>
      </c>
      <c r="BO97" s="26" t="s">
        <v>172</v>
      </c>
      <c r="BP97" s="26" t="s">
        <v>28</v>
      </c>
      <c r="BQ97">
        <v>123.63</v>
      </c>
      <c r="BR97">
        <v>237.48</v>
      </c>
      <c r="BS97">
        <v>206.93</v>
      </c>
      <c r="BT97">
        <v>299.92</v>
      </c>
      <c r="BU97">
        <v>9.81</v>
      </c>
      <c r="BV97">
        <v>38.76</v>
      </c>
      <c r="BW97">
        <v>7.67</v>
      </c>
      <c r="BX97" s="26">
        <v>0</v>
      </c>
      <c r="BY97" s="26">
        <v>0</v>
      </c>
      <c r="BZ97">
        <v>8.7899999999999991</v>
      </c>
      <c r="CA97">
        <v>68.58</v>
      </c>
      <c r="CB97">
        <v>2.79</v>
      </c>
    </row>
    <row r="98" spans="1:80" x14ac:dyDescent="0.25">
      <c r="A98" s="26">
        <v>776</v>
      </c>
      <c r="B98" s="26" t="s">
        <v>149</v>
      </c>
      <c r="C98" s="26" t="s">
        <v>150</v>
      </c>
      <c r="D98" s="26" t="s">
        <v>18</v>
      </c>
      <c r="E98" s="1">
        <v>8</v>
      </c>
      <c r="F98" s="5">
        <v>84.4</v>
      </c>
      <c r="G98" s="1">
        <v>675.2</v>
      </c>
      <c r="H98" s="1">
        <v>123.63</v>
      </c>
      <c r="I98" s="1">
        <v>989.04</v>
      </c>
      <c r="J98" s="1">
        <v>313.83999999999992</v>
      </c>
      <c r="K98" s="5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M98" s="26"/>
      <c r="AN98" s="26"/>
      <c r="AO98" s="26"/>
      <c r="AP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6">
        <v>45203</v>
      </c>
      <c r="BN98" s="26" t="s">
        <v>45</v>
      </c>
      <c r="BO98" s="26" t="s">
        <v>172</v>
      </c>
      <c r="BP98" s="26" t="s">
        <v>28</v>
      </c>
      <c r="BQ98">
        <v>123.63</v>
      </c>
      <c r="BR98">
        <v>237.48</v>
      </c>
      <c r="BS98">
        <v>206.93</v>
      </c>
      <c r="BT98">
        <v>299.92</v>
      </c>
      <c r="BU98">
        <v>9.81</v>
      </c>
      <c r="BV98">
        <v>38.76</v>
      </c>
      <c r="BW98">
        <v>7.67</v>
      </c>
      <c r="BX98" s="26">
        <v>0</v>
      </c>
      <c r="BY98" s="26">
        <v>0</v>
      </c>
      <c r="BZ98">
        <v>8.7899999999999991</v>
      </c>
      <c r="CA98">
        <v>68.58</v>
      </c>
      <c r="CB98">
        <v>2.79</v>
      </c>
    </row>
    <row r="99" spans="1:80" x14ac:dyDescent="0.25">
      <c r="A99" s="26">
        <v>776</v>
      </c>
      <c r="B99" s="26" t="s">
        <v>149</v>
      </c>
      <c r="C99" s="26" t="s">
        <v>150</v>
      </c>
      <c r="D99" s="26" t="s">
        <v>19</v>
      </c>
      <c r="E99" s="1">
        <v>3</v>
      </c>
      <c r="F99" s="5">
        <v>168.8</v>
      </c>
      <c r="G99" s="1">
        <v>506.4</v>
      </c>
      <c r="H99" s="1">
        <v>206.93</v>
      </c>
      <c r="I99" s="1">
        <v>620.79</v>
      </c>
      <c r="J99" s="1">
        <v>114.38999999999999</v>
      </c>
      <c r="K99" s="5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M99" s="26"/>
      <c r="AN99" s="26"/>
      <c r="AO99" s="26"/>
      <c r="AP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6">
        <v>45203</v>
      </c>
      <c r="BN99" s="26" t="s">
        <v>45</v>
      </c>
      <c r="BO99" s="26" t="s">
        <v>172</v>
      </c>
      <c r="BP99" s="26" t="s">
        <v>28</v>
      </c>
      <c r="BQ99">
        <v>123.63</v>
      </c>
      <c r="BR99">
        <v>237.48</v>
      </c>
      <c r="BS99">
        <v>206.93</v>
      </c>
      <c r="BT99">
        <v>299.92</v>
      </c>
      <c r="BU99">
        <v>9.81</v>
      </c>
      <c r="BV99">
        <v>38.76</v>
      </c>
      <c r="BW99">
        <v>7.67</v>
      </c>
      <c r="BX99" s="26">
        <v>0</v>
      </c>
      <c r="BY99" s="26">
        <v>0</v>
      </c>
      <c r="BZ99">
        <v>8.7899999999999991</v>
      </c>
      <c r="CA99">
        <v>68.58</v>
      </c>
      <c r="CB99">
        <v>2.79</v>
      </c>
    </row>
    <row r="100" spans="1:80" x14ac:dyDescent="0.25">
      <c r="A100" s="26">
        <v>776</v>
      </c>
      <c r="B100" s="26" t="s">
        <v>149</v>
      </c>
      <c r="C100" s="26" t="s">
        <v>150</v>
      </c>
      <c r="D100" s="26" t="s">
        <v>18</v>
      </c>
      <c r="E100" s="1">
        <v>8</v>
      </c>
      <c r="F100" s="5">
        <v>84.4</v>
      </c>
      <c r="G100" s="1">
        <v>675.2</v>
      </c>
      <c r="H100" s="1">
        <v>123.63</v>
      </c>
      <c r="I100" s="1">
        <v>989.04</v>
      </c>
      <c r="J100" s="1">
        <v>313.83999999999992</v>
      </c>
      <c r="K100" s="5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M100" s="26"/>
      <c r="AN100" s="26"/>
      <c r="AO100" s="26"/>
      <c r="AP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6">
        <v>45204</v>
      </c>
      <c r="BN100" s="26" t="s">
        <v>45</v>
      </c>
      <c r="BO100" s="26" t="s">
        <v>172</v>
      </c>
      <c r="BP100" s="26" t="s">
        <v>28</v>
      </c>
      <c r="BQ100">
        <v>123.63</v>
      </c>
      <c r="BR100">
        <v>237.48</v>
      </c>
      <c r="BS100">
        <v>206.93</v>
      </c>
      <c r="BT100">
        <v>299.92</v>
      </c>
      <c r="BU100">
        <v>9.81</v>
      </c>
      <c r="BV100">
        <v>38.76</v>
      </c>
      <c r="BW100">
        <v>7.67</v>
      </c>
      <c r="BX100" s="26">
        <v>0</v>
      </c>
      <c r="BY100" s="26">
        <v>0</v>
      </c>
      <c r="BZ100">
        <v>8.7899999999999991</v>
      </c>
      <c r="CA100">
        <v>68.58</v>
      </c>
      <c r="CB100">
        <v>2.79</v>
      </c>
    </row>
    <row r="101" spans="1:80" x14ac:dyDescent="0.25">
      <c r="A101" s="26">
        <v>776</v>
      </c>
      <c r="B101" s="26" t="s">
        <v>149</v>
      </c>
      <c r="C101" s="26" t="s">
        <v>150</v>
      </c>
      <c r="D101" s="26" t="s">
        <v>19</v>
      </c>
      <c r="E101" s="1">
        <v>4</v>
      </c>
      <c r="F101" s="5">
        <v>168.8</v>
      </c>
      <c r="G101" s="1">
        <v>675.2</v>
      </c>
      <c r="H101" s="1">
        <v>206.93</v>
      </c>
      <c r="I101" s="1">
        <v>827.72</v>
      </c>
      <c r="J101" s="1">
        <v>152.51999999999998</v>
      </c>
      <c r="K101" s="5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M101" s="26"/>
      <c r="AN101" s="26"/>
      <c r="AO101" s="26"/>
      <c r="AP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6">
        <v>45204</v>
      </c>
      <c r="BN101" s="26" t="s">
        <v>45</v>
      </c>
      <c r="BO101" s="26" t="s">
        <v>172</v>
      </c>
      <c r="BP101" s="26" t="s">
        <v>28</v>
      </c>
      <c r="BQ101">
        <v>123.63</v>
      </c>
      <c r="BR101">
        <v>237.48</v>
      </c>
      <c r="BS101">
        <v>206.93</v>
      </c>
      <c r="BT101">
        <v>299.92</v>
      </c>
      <c r="BU101">
        <v>9.81</v>
      </c>
      <c r="BV101">
        <v>38.76</v>
      </c>
      <c r="BW101">
        <v>7.67</v>
      </c>
      <c r="BX101" s="26">
        <v>0</v>
      </c>
      <c r="BY101" s="26">
        <v>0</v>
      </c>
      <c r="BZ101">
        <v>8.7899999999999991</v>
      </c>
      <c r="CA101">
        <v>68.58</v>
      </c>
      <c r="CB101">
        <v>2.79</v>
      </c>
    </row>
    <row r="102" spans="1:80" x14ac:dyDescent="0.25">
      <c r="A102" s="26">
        <v>776</v>
      </c>
      <c r="B102" s="26" t="s">
        <v>149</v>
      </c>
      <c r="C102" s="26" t="s">
        <v>150</v>
      </c>
      <c r="D102" s="26" t="s">
        <v>18</v>
      </c>
      <c r="E102" s="1">
        <v>8</v>
      </c>
      <c r="F102" s="5">
        <v>84.4</v>
      </c>
      <c r="G102" s="1">
        <v>675.2</v>
      </c>
      <c r="H102" s="1">
        <v>123.63</v>
      </c>
      <c r="I102" s="1">
        <v>989.04</v>
      </c>
      <c r="J102" s="1">
        <v>313.83999999999992</v>
      </c>
      <c r="K102" s="5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M102" s="26"/>
      <c r="AN102" s="26"/>
      <c r="AO102" s="26"/>
      <c r="AP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6">
        <v>45205</v>
      </c>
      <c r="BN102" s="26" t="s">
        <v>45</v>
      </c>
      <c r="BO102" s="26" t="s">
        <v>172</v>
      </c>
      <c r="BP102" s="26" t="s">
        <v>28</v>
      </c>
      <c r="BQ102">
        <v>123.63</v>
      </c>
      <c r="BR102">
        <v>237.48</v>
      </c>
      <c r="BS102">
        <v>206.93</v>
      </c>
      <c r="BT102">
        <v>299.92</v>
      </c>
      <c r="BU102">
        <v>9.81</v>
      </c>
      <c r="BV102">
        <v>38.76</v>
      </c>
      <c r="BW102">
        <v>7.67</v>
      </c>
      <c r="BX102" s="26">
        <v>0</v>
      </c>
      <c r="BY102" s="26">
        <v>0</v>
      </c>
      <c r="BZ102">
        <v>8.7899999999999991</v>
      </c>
      <c r="CA102">
        <v>68.58</v>
      </c>
      <c r="CB102">
        <v>2.79</v>
      </c>
    </row>
    <row r="103" spans="1:80" x14ac:dyDescent="0.25">
      <c r="A103" s="26">
        <v>776</v>
      </c>
      <c r="B103" s="26" t="s">
        <v>149</v>
      </c>
      <c r="C103" s="26" t="s">
        <v>150</v>
      </c>
      <c r="D103" s="26" t="s">
        <v>19</v>
      </c>
      <c r="E103" s="1">
        <v>4</v>
      </c>
      <c r="F103" s="5">
        <v>168.8</v>
      </c>
      <c r="G103" s="1">
        <v>675.2</v>
      </c>
      <c r="H103" s="1">
        <v>206.93</v>
      </c>
      <c r="I103" s="1">
        <v>827.72</v>
      </c>
      <c r="J103" s="1">
        <v>152.51999999999998</v>
      </c>
      <c r="K103" s="5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M103" s="26"/>
      <c r="AN103" s="26"/>
      <c r="AO103" s="26"/>
      <c r="AP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6">
        <v>45205</v>
      </c>
      <c r="BN103" s="26" t="s">
        <v>45</v>
      </c>
      <c r="BO103" s="26" t="s">
        <v>172</v>
      </c>
      <c r="BP103" s="26" t="s">
        <v>28</v>
      </c>
      <c r="BQ103">
        <v>123.63</v>
      </c>
      <c r="BR103">
        <v>237.48</v>
      </c>
      <c r="BS103">
        <v>206.93</v>
      </c>
      <c r="BT103">
        <v>299.92</v>
      </c>
      <c r="BU103">
        <v>9.81</v>
      </c>
      <c r="BV103">
        <v>38.76</v>
      </c>
      <c r="BW103">
        <v>7.67</v>
      </c>
      <c r="BX103" s="26">
        <v>0</v>
      </c>
      <c r="BY103" s="26">
        <v>0</v>
      </c>
      <c r="BZ103">
        <v>8.7899999999999991</v>
      </c>
      <c r="CA103">
        <v>68.58</v>
      </c>
      <c r="CB103">
        <v>2.79</v>
      </c>
    </row>
    <row r="104" spans="1:80" x14ac:dyDescent="0.25">
      <c r="A104" s="26">
        <v>776</v>
      </c>
      <c r="B104" s="26" t="s">
        <v>283</v>
      </c>
      <c r="C104" s="26" t="s">
        <v>150</v>
      </c>
      <c r="D104" s="26" t="s">
        <v>22</v>
      </c>
      <c r="E104" s="1">
        <v>46</v>
      </c>
      <c r="F104" s="5">
        <v>7.7</v>
      </c>
      <c r="G104" s="1">
        <v>354.2</v>
      </c>
      <c r="H104" s="1">
        <v>9.81</v>
      </c>
      <c r="I104" s="1">
        <v>451.26000000000005</v>
      </c>
      <c r="J104" s="1">
        <v>97.060000000000059</v>
      </c>
      <c r="K104" s="5" t="s">
        <v>135</v>
      </c>
      <c r="L104" s="26" t="s">
        <v>326</v>
      </c>
      <c r="M104" s="26" t="s">
        <v>362</v>
      </c>
      <c r="N104" s="26" t="s">
        <v>374</v>
      </c>
      <c r="O104" s="26" t="s">
        <v>60</v>
      </c>
      <c r="P104" s="26" t="s">
        <v>60</v>
      </c>
      <c r="Q104" s="26" t="s">
        <v>60</v>
      </c>
      <c r="R104" s="26" t="s">
        <v>60</v>
      </c>
      <c r="S104" s="26" t="s">
        <v>167</v>
      </c>
      <c r="T104" s="26" t="s">
        <v>445</v>
      </c>
      <c r="U104" s="26" t="s">
        <v>233</v>
      </c>
      <c r="V104" s="26" t="s">
        <v>328</v>
      </c>
      <c r="W104" s="26" t="s">
        <v>60</v>
      </c>
      <c r="X104" s="26" t="s">
        <v>60</v>
      </c>
      <c r="Y104" s="26" t="s">
        <v>55</v>
      </c>
      <c r="Z104" s="26" t="s">
        <v>56</v>
      </c>
      <c r="AA104" s="26" t="s">
        <v>60</v>
      </c>
      <c r="AB104" s="26" t="s">
        <v>60</v>
      </c>
      <c r="AC104" s="26" t="s">
        <v>60</v>
      </c>
      <c r="AD104" s="26" t="s">
        <v>60</v>
      </c>
      <c r="AE104" s="26" t="s">
        <v>60</v>
      </c>
      <c r="AF104" s="26" t="s">
        <v>60</v>
      </c>
      <c r="AG104" s="26" t="s">
        <v>362</v>
      </c>
      <c r="AH104" s="26" t="s">
        <v>375</v>
      </c>
      <c r="AI104" t="s">
        <v>133</v>
      </c>
      <c r="AJ104" t="s">
        <v>331</v>
      </c>
      <c r="AK104" t="s">
        <v>431</v>
      </c>
      <c r="AL104" t="s">
        <v>432</v>
      </c>
      <c r="AM104" s="26" t="s">
        <v>57</v>
      </c>
      <c r="AN104" s="26" t="s">
        <v>58</v>
      </c>
      <c r="AO104" s="26"/>
      <c r="AP104" s="26"/>
      <c r="AS104" s="26"/>
      <c r="AT104" s="26"/>
      <c r="AU104" s="26"/>
      <c r="AV104" s="26" t="s">
        <v>59</v>
      </c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6">
        <v>45207</v>
      </c>
      <c r="BN104" s="26" t="s">
        <v>45</v>
      </c>
      <c r="BO104" s="26" t="s">
        <v>172</v>
      </c>
      <c r="BP104" s="26" t="s">
        <v>28</v>
      </c>
      <c r="BQ104">
        <v>123.63</v>
      </c>
      <c r="BR104">
        <v>237.48</v>
      </c>
      <c r="BS104">
        <v>206.93</v>
      </c>
      <c r="BT104">
        <v>299.92</v>
      </c>
      <c r="BU104">
        <v>9.81</v>
      </c>
      <c r="BV104">
        <v>38.76</v>
      </c>
      <c r="BW104">
        <v>7.67</v>
      </c>
      <c r="BX104" s="26">
        <v>0</v>
      </c>
      <c r="BY104" s="26">
        <v>0</v>
      </c>
      <c r="BZ104">
        <v>8.7899999999999991</v>
      </c>
      <c r="CA104">
        <v>68.58</v>
      </c>
      <c r="CB104">
        <v>2.79</v>
      </c>
    </row>
    <row r="105" spans="1:80" x14ac:dyDescent="0.25">
      <c r="A105" s="26">
        <v>776</v>
      </c>
      <c r="B105" s="26" t="s">
        <v>283</v>
      </c>
      <c r="C105" s="26" t="s">
        <v>150</v>
      </c>
      <c r="D105" s="26" t="s">
        <v>13</v>
      </c>
      <c r="E105" s="1">
        <v>4</v>
      </c>
      <c r="F105" s="5">
        <v>36.090000000000003</v>
      </c>
      <c r="G105" s="1">
        <v>144.36000000000001</v>
      </c>
      <c r="H105" s="1">
        <v>38.76</v>
      </c>
      <c r="I105" s="1">
        <v>155.04</v>
      </c>
      <c r="J105" s="1">
        <v>10.679999999999978</v>
      </c>
      <c r="K105" s="5" t="s">
        <v>135</v>
      </c>
      <c r="L105" s="26" t="s">
        <v>326</v>
      </c>
      <c r="M105" s="26" t="s">
        <v>362</v>
      </c>
      <c r="N105" s="26" t="s">
        <v>374</v>
      </c>
      <c r="O105" s="26" t="s">
        <v>60</v>
      </c>
      <c r="P105" s="26" t="s">
        <v>60</v>
      </c>
      <c r="Q105" s="26" t="s">
        <v>60</v>
      </c>
      <c r="R105" s="26" t="s">
        <v>60</v>
      </c>
      <c r="S105" s="26" t="s">
        <v>167</v>
      </c>
      <c r="T105" s="26" t="s">
        <v>445</v>
      </c>
      <c r="U105" s="26" t="s">
        <v>233</v>
      </c>
      <c r="V105" s="26" t="s">
        <v>328</v>
      </c>
      <c r="W105" s="26" t="s">
        <v>60</v>
      </c>
      <c r="X105" s="26" t="s">
        <v>60</v>
      </c>
      <c r="Y105" s="26" t="s">
        <v>55</v>
      </c>
      <c r="Z105" s="26" t="s">
        <v>56</v>
      </c>
      <c r="AA105" s="26" t="s">
        <v>60</v>
      </c>
      <c r="AB105" s="26" t="s">
        <v>60</v>
      </c>
      <c r="AC105" s="26" t="s">
        <v>60</v>
      </c>
      <c r="AD105" s="26" t="s">
        <v>60</v>
      </c>
      <c r="AE105" s="26" t="s">
        <v>60</v>
      </c>
      <c r="AF105" s="26" t="s">
        <v>60</v>
      </c>
      <c r="AG105" s="26" t="s">
        <v>362</v>
      </c>
      <c r="AH105" s="26" t="s">
        <v>375</v>
      </c>
      <c r="AI105">
        <v>4</v>
      </c>
      <c r="AJ105">
        <v>144.36000000000001</v>
      </c>
      <c r="AK105" t="s">
        <v>431</v>
      </c>
      <c r="AL105" t="s">
        <v>432</v>
      </c>
      <c r="AM105" s="26" t="s">
        <v>57</v>
      </c>
      <c r="AN105" s="26" t="s">
        <v>58</v>
      </c>
      <c r="AO105" s="26" t="s">
        <v>60</v>
      </c>
      <c r="AP105" s="26" t="s">
        <v>60</v>
      </c>
      <c r="AQ105">
        <v>0</v>
      </c>
      <c r="AR105">
        <v>0</v>
      </c>
      <c r="AS105" s="26" t="s">
        <v>121</v>
      </c>
      <c r="AT105" s="26" t="s">
        <v>60</v>
      </c>
      <c r="AU105" s="26" t="s">
        <v>60</v>
      </c>
      <c r="AV105" s="26" t="s">
        <v>59</v>
      </c>
      <c r="AW105" s="26" t="s">
        <v>512</v>
      </c>
      <c r="AX105" s="26" t="s">
        <v>513</v>
      </c>
      <c r="AY105" s="26" t="s">
        <v>515</v>
      </c>
      <c r="AZ105" s="26" t="s">
        <v>516</v>
      </c>
      <c r="BA105" s="26" t="s">
        <v>514</v>
      </c>
      <c r="BB105" s="26" t="s">
        <v>398</v>
      </c>
      <c r="BC105" s="26"/>
      <c r="BD105" s="26"/>
      <c r="BE105" s="26"/>
      <c r="BF105" s="26"/>
      <c r="BG105" s="26"/>
      <c r="BH105" s="26"/>
      <c r="BI105" s="26"/>
      <c r="BJ105" s="26"/>
      <c r="BK105" s="26"/>
      <c r="BL105" s="26" t="s">
        <v>399</v>
      </c>
      <c r="BM105" s="6">
        <v>45207</v>
      </c>
      <c r="BN105" s="26" t="s">
        <v>45</v>
      </c>
      <c r="BO105" s="26" t="s">
        <v>172</v>
      </c>
      <c r="BP105" s="26" t="s">
        <v>28</v>
      </c>
      <c r="BQ105">
        <v>123.63</v>
      </c>
      <c r="BR105">
        <v>237.48</v>
      </c>
      <c r="BS105">
        <v>206.93</v>
      </c>
      <c r="BT105">
        <v>299.92</v>
      </c>
      <c r="BU105">
        <v>9.81</v>
      </c>
      <c r="BV105">
        <v>38.76</v>
      </c>
      <c r="BW105">
        <v>7.67</v>
      </c>
      <c r="BX105" s="26">
        <v>0</v>
      </c>
      <c r="BY105" s="26">
        <v>0</v>
      </c>
      <c r="BZ105">
        <v>8.7899999999999991</v>
      </c>
      <c r="CA105">
        <v>68.58</v>
      </c>
      <c r="CB105">
        <v>2.79</v>
      </c>
    </row>
    <row r="106" spans="1:80" x14ac:dyDescent="0.25">
      <c r="A106" s="26">
        <v>776</v>
      </c>
      <c r="B106" s="26" t="s">
        <v>283</v>
      </c>
      <c r="C106" s="26" t="s">
        <v>150</v>
      </c>
      <c r="D106" s="26" t="s">
        <v>25</v>
      </c>
      <c r="E106" s="1">
        <v>5</v>
      </c>
      <c r="F106" s="5">
        <v>55</v>
      </c>
      <c r="G106" s="1">
        <v>275</v>
      </c>
      <c r="H106" s="1">
        <v>68.58</v>
      </c>
      <c r="I106" s="1">
        <v>342.9</v>
      </c>
      <c r="J106" s="1">
        <v>67.899999999999977</v>
      </c>
      <c r="K106" s="5" t="s">
        <v>135</v>
      </c>
      <c r="L106" s="26" t="s">
        <v>326</v>
      </c>
      <c r="M106" s="26" t="s">
        <v>362</v>
      </c>
      <c r="N106" s="26" t="s">
        <v>374</v>
      </c>
      <c r="O106" s="26" t="s">
        <v>60</v>
      </c>
      <c r="P106" s="26" t="s">
        <v>60</v>
      </c>
      <c r="Q106" s="26" t="s">
        <v>60</v>
      </c>
      <c r="R106" s="26" t="s">
        <v>60</v>
      </c>
      <c r="S106" s="26" t="s">
        <v>167</v>
      </c>
      <c r="T106" s="26" t="s">
        <v>445</v>
      </c>
      <c r="U106" s="26" t="s">
        <v>233</v>
      </c>
      <c r="V106" s="26" t="s">
        <v>328</v>
      </c>
      <c r="W106" s="26" t="s">
        <v>60</v>
      </c>
      <c r="X106" s="26" t="s">
        <v>60</v>
      </c>
      <c r="Y106" s="26" t="s">
        <v>55</v>
      </c>
      <c r="Z106" s="26" t="s">
        <v>56</v>
      </c>
      <c r="AA106" s="26" t="s">
        <v>60</v>
      </c>
      <c r="AB106" s="26" t="s">
        <v>60</v>
      </c>
      <c r="AC106" s="26" t="s">
        <v>60</v>
      </c>
      <c r="AD106" s="26" t="s">
        <v>60</v>
      </c>
      <c r="AE106" s="26" t="s">
        <v>60</v>
      </c>
      <c r="AF106" s="26" t="s">
        <v>60</v>
      </c>
      <c r="AG106" s="26" t="s">
        <v>362</v>
      </c>
      <c r="AH106" s="26" t="s">
        <v>375</v>
      </c>
      <c r="AI106" t="s">
        <v>133</v>
      </c>
      <c r="AJ106" t="s">
        <v>331</v>
      </c>
      <c r="AK106">
        <v>5</v>
      </c>
      <c r="AL106">
        <v>275</v>
      </c>
      <c r="AM106" s="26" t="s">
        <v>57</v>
      </c>
      <c r="AN106" s="26" t="s">
        <v>58</v>
      </c>
      <c r="AO106" s="26">
        <v>0</v>
      </c>
      <c r="AP106" s="26">
        <v>0</v>
      </c>
      <c r="AQ106" t="s">
        <v>60</v>
      </c>
      <c r="AR106" t="s">
        <v>60</v>
      </c>
      <c r="AS106" s="26" t="s">
        <v>121</v>
      </c>
      <c r="AT106" s="26" t="s">
        <v>60</v>
      </c>
      <c r="AU106" s="26" t="s">
        <v>60</v>
      </c>
      <c r="AV106" s="26" t="s">
        <v>59</v>
      </c>
      <c r="AW106" s="26" t="s">
        <v>512</v>
      </c>
      <c r="AX106" s="26" t="s">
        <v>513</v>
      </c>
      <c r="AY106" s="26" t="s">
        <v>515</v>
      </c>
      <c r="AZ106" s="26" t="s">
        <v>516</v>
      </c>
      <c r="BA106" s="26" t="s">
        <v>514</v>
      </c>
      <c r="BB106" s="26" t="s">
        <v>398</v>
      </c>
      <c r="BC106" s="26" t="s">
        <v>121</v>
      </c>
      <c r="BD106" s="26" t="s">
        <v>565</v>
      </c>
      <c r="BE106" s="26" t="s">
        <v>60</v>
      </c>
      <c r="BF106" s="26" t="s">
        <v>60</v>
      </c>
      <c r="BG106" s="26" t="s">
        <v>60</v>
      </c>
      <c r="BH106" s="26" t="s">
        <v>60</v>
      </c>
      <c r="BI106" s="26" t="s">
        <v>60</v>
      </c>
      <c r="BJ106" s="26" t="s">
        <v>60</v>
      </c>
      <c r="BK106" s="26" t="s">
        <v>60</v>
      </c>
      <c r="BL106" s="26" t="s">
        <v>399</v>
      </c>
      <c r="BM106" s="6">
        <v>45207</v>
      </c>
      <c r="BN106" s="26" t="s">
        <v>45</v>
      </c>
      <c r="BO106" s="26" t="s">
        <v>172</v>
      </c>
      <c r="BP106" s="26" t="s">
        <v>28</v>
      </c>
      <c r="BQ106">
        <v>123.63</v>
      </c>
      <c r="BR106">
        <v>237.48</v>
      </c>
      <c r="BS106">
        <v>206.93</v>
      </c>
      <c r="BT106">
        <v>299.92</v>
      </c>
      <c r="BU106">
        <v>9.81</v>
      </c>
      <c r="BV106">
        <v>38.76</v>
      </c>
      <c r="BW106">
        <v>7.67</v>
      </c>
      <c r="BX106" s="26">
        <v>0</v>
      </c>
      <c r="BY106" s="26">
        <v>0</v>
      </c>
      <c r="BZ106">
        <v>8.7899999999999991</v>
      </c>
      <c r="CA106">
        <v>68.58</v>
      </c>
      <c r="CB106">
        <v>2.79</v>
      </c>
    </row>
    <row r="107" spans="1:80" x14ac:dyDescent="0.25">
      <c r="A107" s="26">
        <v>776</v>
      </c>
      <c r="B107" s="26" t="s">
        <v>283</v>
      </c>
      <c r="C107" s="26" t="s">
        <v>150</v>
      </c>
      <c r="D107" s="26" t="s">
        <v>14</v>
      </c>
      <c r="E107" s="1">
        <v>14</v>
      </c>
      <c r="F107" s="5">
        <v>2.48</v>
      </c>
      <c r="G107" s="1">
        <v>34.72</v>
      </c>
      <c r="H107" s="1">
        <v>2.79</v>
      </c>
      <c r="I107" s="1">
        <v>39.06</v>
      </c>
      <c r="J107" s="1">
        <v>4.3400000000000034</v>
      </c>
      <c r="K107" s="5" t="s">
        <v>135</v>
      </c>
      <c r="L107" s="26" t="s">
        <v>326</v>
      </c>
      <c r="M107" s="26" t="s">
        <v>362</v>
      </c>
      <c r="N107" s="26" t="s">
        <v>374</v>
      </c>
      <c r="O107" s="26" t="s">
        <v>60</v>
      </c>
      <c r="P107" s="26" t="s">
        <v>60</v>
      </c>
      <c r="Q107" s="26" t="s">
        <v>60</v>
      </c>
      <c r="R107" s="26" t="s">
        <v>60</v>
      </c>
      <c r="S107" s="26" t="s">
        <v>167</v>
      </c>
      <c r="T107" s="26" t="s">
        <v>445</v>
      </c>
      <c r="U107" s="26" t="s">
        <v>233</v>
      </c>
      <c r="V107" s="26" t="s">
        <v>328</v>
      </c>
      <c r="W107" s="26" t="s">
        <v>60</v>
      </c>
      <c r="X107" s="26" t="s">
        <v>60</v>
      </c>
      <c r="Y107" s="26" t="s">
        <v>55</v>
      </c>
      <c r="Z107" s="26" t="s">
        <v>56</v>
      </c>
      <c r="AA107" s="26" t="s">
        <v>60</v>
      </c>
      <c r="AB107" s="26" t="s">
        <v>60</v>
      </c>
      <c r="AC107" s="26" t="s">
        <v>60</v>
      </c>
      <c r="AD107" s="26" t="s">
        <v>60</v>
      </c>
      <c r="AE107" s="26" t="s">
        <v>60</v>
      </c>
      <c r="AF107" s="26" t="s">
        <v>60</v>
      </c>
      <c r="AG107" s="26"/>
      <c r="AH107" s="26"/>
      <c r="AI107" t="s">
        <v>133</v>
      </c>
      <c r="AJ107" t="s">
        <v>331</v>
      </c>
      <c r="AK107" t="s">
        <v>431</v>
      </c>
      <c r="AL107" t="s">
        <v>432</v>
      </c>
      <c r="AM107" s="26" t="s">
        <v>57</v>
      </c>
      <c r="AN107" s="26" t="s">
        <v>58</v>
      </c>
      <c r="AO107" s="26" t="s">
        <v>60</v>
      </c>
      <c r="AP107" s="26" t="s">
        <v>60</v>
      </c>
      <c r="AQ107" t="s">
        <v>60</v>
      </c>
      <c r="AR107" t="s">
        <v>60</v>
      </c>
      <c r="AS107" s="26"/>
      <c r="AT107" s="26"/>
      <c r="AU107" s="26"/>
      <c r="AV107" s="26" t="s">
        <v>59</v>
      </c>
      <c r="AW107" s="26"/>
      <c r="AX107" s="26"/>
      <c r="AY107" s="26"/>
      <c r="AZ107" s="26"/>
      <c r="BA107" s="26"/>
      <c r="BB107" s="26" t="s">
        <v>398</v>
      </c>
      <c r="BC107" s="26"/>
      <c r="BD107" s="26"/>
      <c r="BE107" s="26"/>
      <c r="BF107" s="26"/>
      <c r="BG107" s="26"/>
      <c r="BH107" s="26"/>
      <c r="BI107" s="26"/>
      <c r="BJ107" s="26"/>
      <c r="BK107" s="26"/>
      <c r="BL107" s="26" t="s">
        <v>399</v>
      </c>
      <c r="BM107" s="6">
        <v>45207</v>
      </c>
      <c r="BN107" s="26" t="s">
        <v>45</v>
      </c>
      <c r="BO107" s="26" t="s">
        <v>172</v>
      </c>
      <c r="BP107" s="26" t="s">
        <v>28</v>
      </c>
      <c r="BQ107">
        <v>123.63</v>
      </c>
      <c r="BR107">
        <v>237.48</v>
      </c>
      <c r="BS107">
        <v>206.93</v>
      </c>
      <c r="BT107">
        <v>299.92</v>
      </c>
      <c r="BU107">
        <v>9.81</v>
      </c>
      <c r="BV107">
        <v>38.76</v>
      </c>
      <c r="BW107">
        <v>7.67</v>
      </c>
      <c r="BX107" s="26">
        <v>0</v>
      </c>
      <c r="BY107" s="26">
        <v>0</v>
      </c>
      <c r="BZ107">
        <v>8.7899999999999991</v>
      </c>
      <c r="CA107">
        <v>68.58</v>
      </c>
      <c r="CB107">
        <v>2.79</v>
      </c>
    </row>
    <row r="108" spans="1:80" x14ac:dyDescent="0.25">
      <c r="A108" s="26">
        <v>798</v>
      </c>
      <c r="B108" s="26" t="s">
        <v>155</v>
      </c>
      <c r="C108" s="26" t="s">
        <v>156</v>
      </c>
      <c r="D108" s="26" t="s">
        <v>19</v>
      </c>
      <c r="E108" s="1">
        <v>4</v>
      </c>
      <c r="F108" s="5">
        <v>168.8</v>
      </c>
      <c r="G108" s="1">
        <v>675.2</v>
      </c>
      <c r="H108" s="1">
        <v>206.93</v>
      </c>
      <c r="I108" s="1">
        <v>827.72</v>
      </c>
      <c r="J108" s="1">
        <v>152.51999999999998</v>
      </c>
      <c r="K108" s="5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M108" s="26"/>
      <c r="AN108" s="26"/>
      <c r="AO108" s="26"/>
      <c r="AP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6">
        <v>45202</v>
      </c>
      <c r="BN108" s="26" t="s">
        <v>45</v>
      </c>
      <c r="BO108" s="26" t="s">
        <v>172</v>
      </c>
      <c r="BP108" s="26" t="s">
        <v>28</v>
      </c>
      <c r="BQ108">
        <v>123.63</v>
      </c>
      <c r="BR108">
        <v>237.48</v>
      </c>
      <c r="BS108">
        <v>206.93</v>
      </c>
      <c r="BT108">
        <v>299.92</v>
      </c>
      <c r="BU108">
        <v>9.81</v>
      </c>
      <c r="BV108">
        <v>38.76</v>
      </c>
      <c r="BW108">
        <v>7.67</v>
      </c>
      <c r="BX108" s="26">
        <v>0</v>
      </c>
      <c r="BY108" s="26">
        <v>0</v>
      </c>
      <c r="BZ108">
        <v>8.7899999999999991</v>
      </c>
      <c r="CA108">
        <v>68.58</v>
      </c>
      <c r="CB108">
        <v>2.79</v>
      </c>
    </row>
    <row r="109" spans="1:80" x14ac:dyDescent="0.25">
      <c r="A109" s="26">
        <v>798</v>
      </c>
      <c r="B109" s="26" t="s">
        <v>155</v>
      </c>
      <c r="C109" s="26" t="s">
        <v>156</v>
      </c>
      <c r="D109" s="26" t="s">
        <v>21</v>
      </c>
      <c r="E109" s="1">
        <v>8</v>
      </c>
      <c r="F109" s="5">
        <v>168.8</v>
      </c>
      <c r="G109" s="1">
        <v>1350.4</v>
      </c>
      <c r="H109" s="1">
        <v>237.48</v>
      </c>
      <c r="I109" s="1">
        <v>1899.84</v>
      </c>
      <c r="J109" s="1">
        <v>549.43999999999983</v>
      </c>
      <c r="K109" s="5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M109" s="26"/>
      <c r="AN109" s="26"/>
      <c r="AO109" s="26"/>
      <c r="AP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6">
        <v>45202</v>
      </c>
      <c r="BN109" s="26" t="s">
        <v>45</v>
      </c>
      <c r="BO109" s="26" t="s">
        <v>172</v>
      </c>
      <c r="BP109" s="26" t="s">
        <v>28</v>
      </c>
      <c r="BQ109">
        <v>123.63</v>
      </c>
      <c r="BR109">
        <v>237.48</v>
      </c>
      <c r="BS109">
        <v>206.93</v>
      </c>
      <c r="BT109">
        <v>299.92</v>
      </c>
      <c r="BU109">
        <v>9.81</v>
      </c>
      <c r="BV109">
        <v>38.76</v>
      </c>
      <c r="BW109">
        <v>7.67</v>
      </c>
      <c r="BX109" s="26">
        <v>0</v>
      </c>
      <c r="BY109" s="26">
        <v>0</v>
      </c>
      <c r="BZ109">
        <v>8.7899999999999991</v>
      </c>
      <c r="CA109">
        <v>68.58</v>
      </c>
      <c r="CB109">
        <v>2.79</v>
      </c>
    </row>
    <row r="110" spans="1:80" x14ac:dyDescent="0.25">
      <c r="A110" s="26">
        <v>798</v>
      </c>
      <c r="B110" s="26" t="s">
        <v>155</v>
      </c>
      <c r="C110" s="26" t="s">
        <v>156</v>
      </c>
      <c r="D110" s="26" t="s">
        <v>19</v>
      </c>
      <c r="E110" s="1">
        <v>4</v>
      </c>
      <c r="F110" s="5">
        <v>168.8</v>
      </c>
      <c r="G110" s="1">
        <v>675.2</v>
      </c>
      <c r="H110" s="1">
        <v>206.93</v>
      </c>
      <c r="I110" s="1">
        <v>827.72</v>
      </c>
      <c r="J110" s="1">
        <v>152.51999999999998</v>
      </c>
      <c r="K110" s="5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M110" s="26"/>
      <c r="AN110" s="26"/>
      <c r="AO110" s="26"/>
      <c r="AP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6">
        <v>45203</v>
      </c>
      <c r="BN110" s="26" t="s">
        <v>45</v>
      </c>
      <c r="BO110" s="26" t="s">
        <v>172</v>
      </c>
      <c r="BP110" s="26" t="s">
        <v>28</v>
      </c>
      <c r="BQ110">
        <v>123.63</v>
      </c>
      <c r="BR110">
        <v>237.48</v>
      </c>
      <c r="BS110">
        <v>206.93</v>
      </c>
      <c r="BT110">
        <v>299.92</v>
      </c>
      <c r="BU110">
        <v>9.81</v>
      </c>
      <c r="BV110">
        <v>38.76</v>
      </c>
      <c r="BW110">
        <v>7.67</v>
      </c>
      <c r="BX110" s="26">
        <v>0</v>
      </c>
      <c r="BY110" s="26">
        <v>0</v>
      </c>
      <c r="BZ110">
        <v>8.7899999999999991</v>
      </c>
      <c r="CA110">
        <v>68.58</v>
      </c>
      <c r="CB110">
        <v>2.79</v>
      </c>
    </row>
    <row r="111" spans="1:80" x14ac:dyDescent="0.25">
      <c r="A111" s="26">
        <v>798</v>
      </c>
      <c r="B111" s="26" t="s">
        <v>155</v>
      </c>
      <c r="C111" s="26" t="s">
        <v>156</v>
      </c>
      <c r="D111" s="26" t="s">
        <v>21</v>
      </c>
      <c r="E111" s="1">
        <v>8</v>
      </c>
      <c r="F111" s="5">
        <v>168.8</v>
      </c>
      <c r="G111" s="1">
        <v>1350.4</v>
      </c>
      <c r="H111" s="1">
        <v>237.48</v>
      </c>
      <c r="I111" s="1">
        <v>1899.84</v>
      </c>
      <c r="J111" s="1">
        <v>549.43999999999983</v>
      </c>
      <c r="K111" s="5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M111" s="26"/>
      <c r="AN111" s="26"/>
      <c r="AO111" s="26"/>
      <c r="AP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6">
        <v>45203</v>
      </c>
      <c r="BN111" s="26" t="s">
        <v>45</v>
      </c>
      <c r="BO111" s="26" t="s">
        <v>172</v>
      </c>
      <c r="BP111" s="26" t="s">
        <v>28</v>
      </c>
      <c r="BQ111">
        <v>123.63</v>
      </c>
      <c r="BR111">
        <v>237.48</v>
      </c>
      <c r="BS111">
        <v>206.93</v>
      </c>
      <c r="BT111">
        <v>299.92</v>
      </c>
      <c r="BU111">
        <v>9.81</v>
      </c>
      <c r="BV111">
        <v>38.76</v>
      </c>
      <c r="BW111">
        <v>7.67</v>
      </c>
      <c r="BX111" s="26">
        <v>0</v>
      </c>
      <c r="BY111" s="26">
        <v>0</v>
      </c>
      <c r="BZ111">
        <v>8.7899999999999991</v>
      </c>
      <c r="CA111">
        <v>68.58</v>
      </c>
      <c r="CB111">
        <v>2.79</v>
      </c>
    </row>
    <row r="112" spans="1:80" x14ac:dyDescent="0.25">
      <c r="A112" s="26">
        <v>798</v>
      </c>
      <c r="B112" s="26" t="s">
        <v>155</v>
      </c>
      <c r="C112" s="26" t="s">
        <v>156</v>
      </c>
      <c r="D112" s="26" t="s">
        <v>19</v>
      </c>
      <c r="E112" s="1">
        <v>4</v>
      </c>
      <c r="F112" s="5">
        <v>168.8</v>
      </c>
      <c r="G112" s="1">
        <v>675.2</v>
      </c>
      <c r="H112" s="1">
        <v>206.93</v>
      </c>
      <c r="I112" s="1">
        <v>827.72</v>
      </c>
      <c r="J112" s="1">
        <v>152.51999999999998</v>
      </c>
      <c r="K112" s="5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M112" s="26"/>
      <c r="AN112" s="26"/>
      <c r="AO112" s="26"/>
      <c r="AP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6">
        <v>45204</v>
      </c>
      <c r="BN112" s="26" t="s">
        <v>45</v>
      </c>
      <c r="BO112" s="26" t="s">
        <v>172</v>
      </c>
      <c r="BP112" s="26" t="s">
        <v>28</v>
      </c>
      <c r="BQ112">
        <v>123.63</v>
      </c>
      <c r="BR112">
        <v>237.48</v>
      </c>
      <c r="BS112">
        <v>206.93</v>
      </c>
      <c r="BT112">
        <v>299.92</v>
      </c>
      <c r="BU112">
        <v>9.81</v>
      </c>
      <c r="BV112">
        <v>38.76</v>
      </c>
      <c r="BW112">
        <v>7.67</v>
      </c>
      <c r="BX112" s="26">
        <v>0</v>
      </c>
      <c r="BY112" s="26">
        <v>0</v>
      </c>
      <c r="BZ112">
        <v>8.7899999999999991</v>
      </c>
      <c r="CA112">
        <v>68.58</v>
      </c>
      <c r="CB112">
        <v>2.79</v>
      </c>
    </row>
    <row r="113" spans="1:80" x14ac:dyDescent="0.25">
      <c r="A113" s="26">
        <v>798</v>
      </c>
      <c r="B113" s="26" t="s">
        <v>155</v>
      </c>
      <c r="C113" s="26" t="s">
        <v>156</v>
      </c>
      <c r="D113" s="26" t="s">
        <v>21</v>
      </c>
      <c r="E113" s="1">
        <v>8</v>
      </c>
      <c r="F113" s="5">
        <v>168.8</v>
      </c>
      <c r="G113" s="1">
        <v>1350.4</v>
      </c>
      <c r="H113" s="1">
        <v>237.48</v>
      </c>
      <c r="I113" s="1">
        <v>1899.84</v>
      </c>
      <c r="J113" s="1">
        <v>549.43999999999983</v>
      </c>
      <c r="K113" s="5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M113" s="26"/>
      <c r="AN113" s="26"/>
      <c r="AO113" s="26"/>
      <c r="AP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6">
        <v>45204</v>
      </c>
      <c r="BN113" s="26" t="s">
        <v>45</v>
      </c>
      <c r="BO113" s="26" t="s">
        <v>172</v>
      </c>
      <c r="BP113" s="26" t="s">
        <v>28</v>
      </c>
      <c r="BQ113">
        <v>123.63</v>
      </c>
      <c r="BR113">
        <v>237.48</v>
      </c>
      <c r="BS113">
        <v>206.93</v>
      </c>
      <c r="BT113">
        <v>299.92</v>
      </c>
      <c r="BU113">
        <v>9.81</v>
      </c>
      <c r="BV113">
        <v>38.76</v>
      </c>
      <c r="BW113">
        <v>7.67</v>
      </c>
      <c r="BX113" s="26">
        <v>0</v>
      </c>
      <c r="BY113" s="26">
        <v>0</v>
      </c>
      <c r="BZ113">
        <v>8.7899999999999991</v>
      </c>
      <c r="CA113">
        <v>68.58</v>
      </c>
      <c r="CB113">
        <v>2.79</v>
      </c>
    </row>
    <row r="114" spans="1:80" x14ac:dyDescent="0.25">
      <c r="A114" s="26">
        <v>798</v>
      </c>
      <c r="B114" s="26" t="s">
        <v>155</v>
      </c>
      <c r="C114" s="26" t="s">
        <v>156</v>
      </c>
      <c r="D114" s="26" t="s">
        <v>19</v>
      </c>
      <c r="E114" s="1">
        <v>4</v>
      </c>
      <c r="F114" s="5">
        <v>168.8</v>
      </c>
      <c r="G114" s="1">
        <v>675.2</v>
      </c>
      <c r="H114" s="1">
        <v>206.93</v>
      </c>
      <c r="I114" s="1">
        <v>827.72</v>
      </c>
      <c r="J114" s="1">
        <v>152.51999999999998</v>
      </c>
      <c r="K114" s="5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M114" s="26"/>
      <c r="AN114" s="26"/>
      <c r="AO114" s="26"/>
      <c r="AP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6">
        <v>45205</v>
      </c>
      <c r="BN114" s="26" t="s">
        <v>45</v>
      </c>
      <c r="BO114" s="26" t="s">
        <v>172</v>
      </c>
      <c r="BP114" s="26" t="s">
        <v>28</v>
      </c>
      <c r="BQ114">
        <v>123.63</v>
      </c>
      <c r="BR114">
        <v>237.48</v>
      </c>
      <c r="BS114">
        <v>206.93</v>
      </c>
      <c r="BT114">
        <v>299.92</v>
      </c>
      <c r="BU114">
        <v>9.81</v>
      </c>
      <c r="BV114">
        <v>38.76</v>
      </c>
      <c r="BW114">
        <v>7.67</v>
      </c>
      <c r="BX114" s="26">
        <v>0</v>
      </c>
      <c r="BY114" s="26">
        <v>0</v>
      </c>
      <c r="BZ114">
        <v>8.7899999999999991</v>
      </c>
      <c r="CA114">
        <v>68.58</v>
      </c>
      <c r="CB114">
        <v>2.79</v>
      </c>
    </row>
    <row r="115" spans="1:80" x14ac:dyDescent="0.25">
      <c r="A115" s="26">
        <v>798</v>
      </c>
      <c r="B115" s="26" t="s">
        <v>155</v>
      </c>
      <c r="C115" s="26" t="s">
        <v>156</v>
      </c>
      <c r="D115" s="26" t="s">
        <v>21</v>
      </c>
      <c r="E115" s="1">
        <v>8</v>
      </c>
      <c r="F115" s="5">
        <v>168.8</v>
      </c>
      <c r="G115" s="1">
        <v>1350.4</v>
      </c>
      <c r="H115" s="1">
        <v>237.48</v>
      </c>
      <c r="I115" s="1">
        <v>1899.84</v>
      </c>
      <c r="J115" s="1">
        <v>549.43999999999983</v>
      </c>
      <c r="K115" s="5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M115" s="26"/>
      <c r="AN115" s="26"/>
      <c r="AO115" s="26"/>
      <c r="AP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6">
        <v>45205</v>
      </c>
      <c r="BN115" s="26" t="s">
        <v>45</v>
      </c>
      <c r="BO115" s="26" t="s">
        <v>172</v>
      </c>
      <c r="BP115" s="26" t="s">
        <v>28</v>
      </c>
      <c r="BQ115">
        <v>123.63</v>
      </c>
      <c r="BR115">
        <v>237.48</v>
      </c>
      <c r="BS115">
        <v>206.93</v>
      </c>
      <c r="BT115">
        <v>299.92</v>
      </c>
      <c r="BU115">
        <v>9.81</v>
      </c>
      <c r="BV115">
        <v>38.76</v>
      </c>
      <c r="BW115">
        <v>7.67</v>
      </c>
      <c r="BX115" s="26">
        <v>0</v>
      </c>
      <c r="BY115" s="26">
        <v>0</v>
      </c>
      <c r="BZ115">
        <v>8.7899999999999991</v>
      </c>
      <c r="CA115">
        <v>68.58</v>
      </c>
      <c r="CB115">
        <v>2.79</v>
      </c>
    </row>
    <row r="116" spans="1:80" x14ac:dyDescent="0.25">
      <c r="A116" s="26">
        <v>798</v>
      </c>
      <c r="B116" s="26" t="s">
        <v>226</v>
      </c>
      <c r="C116" s="26" t="s">
        <v>156</v>
      </c>
      <c r="D116" s="26" t="s">
        <v>22</v>
      </c>
      <c r="E116" s="1">
        <v>48</v>
      </c>
      <c r="F116" s="5">
        <v>7.7</v>
      </c>
      <c r="G116" s="1">
        <v>369.6</v>
      </c>
      <c r="H116" s="1">
        <v>9.81</v>
      </c>
      <c r="I116" s="1">
        <v>470.88</v>
      </c>
      <c r="J116" s="1">
        <v>101.27999999999997</v>
      </c>
      <c r="K116" s="5" t="s">
        <v>60</v>
      </c>
      <c r="L116" s="26" t="s">
        <v>60</v>
      </c>
      <c r="M116" s="26" t="s">
        <v>169</v>
      </c>
      <c r="N116" s="26" t="s">
        <v>326</v>
      </c>
      <c r="O116" s="26" t="s">
        <v>60</v>
      </c>
      <c r="P116" s="26" t="s">
        <v>60</v>
      </c>
      <c r="Q116" s="26" t="s">
        <v>60</v>
      </c>
      <c r="R116" s="26" t="s">
        <v>60</v>
      </c>
      <c r="S116" s="26" t="s">
        <v>90</v>
      </c>
      <c r="T116" s="26" t="s">
        <v>327</v>
      </c>
      <c r="U116" s="26" t="s">
        <v>233</v>
      </c>
      <c r="V116" s="26" t="s">
        <v>328</v>
      </c>
      <c r="W116" s="26" t="s">
        <v>135</v>
      </c>
      <c r="X116" s="26" t="s">
        <v>332</v>
      </c>
      <c r="Y116" s="26" t="s">
        <v>55</v>
      </c>
      <c r="Z116" s="26" t="s">
        <v>56</v>
      </c>
      <c r="AA116" s="26" t="s">
        <v>60</v>
      </c>
      <c r="AB116" s="26" t="s">
        <v>60</v>
      </c>
      <c r="AC116" s="26" t="s">
        <v>60</v>
      </c>
      <c r="AD116" s="26" t="s">
        <v>60</v>
      </c>
      <c r="AE116" s="26" t="s">
        <v>60</v>
      </c>
      <c r="AF116" s="26" t="s">
        <v>60</v>
      </c>
      <c r="AG116" s="26" t="s">
        <v>169</v>
      </c>
      <c r="AH116" s="26" t="s">
        <v>330</v>
      </c>
      <c r="AI116" t="s">
        <v>133</v>
      </c>
      <c r="AJ116" t="s">
        <v>331</v>
      </c>
      <c r="AK116" t="s">
        <v>431</v>
      </c>
      <c r="AL116" t="s">
        <v>432</v>
      </c>
      <c r="AM116" s="26" t="s">
        <v>57</v>
      </c>
      <c r="AN116" s="26" t="s">
        <v>58</v>
      </c>
      <c r="AO116" s="26"/>
      <c r="AP116" s="26"/>
      <c r="AS116" s="26"/>
      <c r="AT116" s="26"/>
      <c r="AU116" s="26"/>
      <c r="AV116" s="26" t="s">
        <v>59</v>
      </c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6">
        <v>45207</v>
      </c>
      <c r="BN116" s="26" t="s">
        <v>45</v>
      </c>
      <c r="BO116" s="26" t="s">
        <v>172</v>
      </c>
      <c r="BP116" s="26" t="s">
        <v>28</v>
      </c>
      <c r="BQ116">
        <v>123.63</v>
      </c>
      <c r="BR116">
        <v>237.48</v>
      </c>
      <c r="BS116">
        <v>206.93</v>
      </c>
      <c r="BT116">
        <v>299.92</v>
      </c>
      <c r="BU116">
        <v>9.81</v>
      </c>
      <c r="BV116">
        <v>38.76</v>
      </c>
      <c r="BW116">
        <v>7.67</v>
      </c>
      <c r="BX116" s="26">
        <v>0</v>
      </c>
      <c r="BY116" s="26">
        <v>0</v>
      </c>
      <c r="BZ116">
        <v>8.7899999999999991</v>
      </c>
      <c r="CA116">
        <v>68.58</v>
      </c>
      <c r="CB116">
        <v>2.79</v>
      </c>
    </row>
    <row r="117" spans="1:80" x14ac:dyDescent="0.25">
      <c r="A117" s="26">
        <v>798</v>
      </c>
      <c r="B117" s="26" t="s">
        <v>226</v>
      </c>
      <c r="C117" s="26" t="s">
        <v>156</v>
      </c>
      <c r="D117" s="26" t="s">
        <v>13</v>
      </c>
      <c r="E117" s="1">
        <v>4</v>
      </c>
      <c r="F117" s="5">
        <v>36.090000000000003</v>
      </c>
      <c r="G117" s="1">
        <v>144.36000000000001</v>
      </c>
      <c r="H117" s="1">
        <v>38.76</v>
      </c>
      <c r="I117" s="1">
        <v>155.04</v>
      </c>
      <c r="J117" s="1">
        <v>10.679999999999978</v>
      </c>
      <c r="K117" s="5" t="s">
        <v>60</v>
      </c>
      <c r="L117" s="26" t="s">
        <v>60</v>
      </c>
      <c r="M117" s="26" t="s">
        <v>169</v>
      </c>
      <c r="N117" s="26" t="s">
        <v>326</v>
      </c>
      <c r="O117" s="26" t="s">
        <v>60</v>
      </c>
      <c r="P117" s="26" t="s">
        <v>60</v>
      </c>
      <c r="Q117" s="26" t="s">
        <v>60</v>
      </c>
      <c r="R117" s="26" t="s">
        <v>60</v>
      </c>
      <c r="S117" s="26" t="s">
        <v>90</v>
      </c>
      <c r="T117" s="26" t="s">
        <v>327</v>
      </c>
      <c r="U117" s="26" t="s">
        <v>233</v>
      </c>
      <c r="V117" s="26" t="s">
        <v>328</v>
      </c>
      <c r="W117" s="26" t="s">
        <v>135</v>
      </c>
      <c r="X117" s="26" t="s">
        <v>332</v>
      </c>
      <c r="Y117" s="26" t="s">
        <v>55</v>
      </c>
      <c r="Z117" s="26" t="s">
        <v>56</v>
      </c>
      <c r="AA117" s="26" t="s">
        <v>60</v>
      </c>
      <c r="AB117" s="26" t="s">
        <v>60</v>
      </c>
      <c r="AC117" s="26" t="s">
        <v>60</v>
      </c>
      <c r="AD117" s="26" t="s">
        <v>60</v>
      </c>
      <c r="AE117" s="26" t="s">
        <v>60</v>
      </c>
      <c r="AF117" s="26" t="s">
        <v>60</v>
      </c>
      <c r="AG117" s="26" t="s">
        <v>169</v>
      </c>
      <c r="AH117" s="26" t="s">
        <v>330</v>
      </c>
      <c r="AI117">
        <v>4</v>
      </c>
      <c r="AJ117">
        <v>144.36000000000001</v>
      </c>
      <c r="AK117" t="s">
        <v>431</v>
      </c>
      <c r="AL117" t="s">
        <v>432</v>
      </c>
      <c r="AM117" s="26" t="s">
        <v>57</v>
      </c>
      <c r="AN117" s="26" t="s">
        <v>58</v>
      </c>
      <c r="AO117" s="26" t="s">
        <v>60</v>
      </c>
      <c r="AP117" s="26" t="s">
        <v>60</v>
      </c>
      <c r="AQ117">
        <v>0</v>
      </c>
      <c r="AR117">
        <v>0</v>
      </c>
      <c r="AS117" s="26" t="s">
        <v>60</v>
      </c>
      <c r="AT117" s="26" t="s">
        <v>60</v>
      </c>
      <c r="AU117" s="26" t="s">
        <v>60</v>
      </c>
      <c r="AV117" s="26" t="s">
        <v>59</v>
      </c>
      <c r="AW117" s="26" t="s">
        <v>517</v>
      </c>
      <c r="AX117" s="26" t="s">
        <v>517</v>
      </c>
      <c r="AY117" s="26" t="s">
        <v>519</v>
      </c>
      <c r="AZ117" s="26" t="s">
        <v>520</v>
      </c>
      <c r="BA117" s="26" t="s">
        <v>518</v>
      </c>
      <c r="BB117" s="26" t="s">
        <v>191</v>
      </c>
      <c r="BC117" s="26"/>
      <c r="BD117" s="26"/>
      <c r="BE117" s="26"/>
      <c r="BF117" s="26"/>
      <c r="BG117" s="26"/>
      <c r="BH117" s="26"/>
      <c r="BI117" s="26"/>
      <c r="BJ117" s="26"/>
      <c r="BK117" s="26"/>
      <c r="BL117" s="26" t="s">
        <v>335</v>
      </c>
      <c r="BM117" s="6">
        <v>45207</v>
      </c>
      <c r="BN117" s="26" t="s">
        <v>45</v>
      </c>
      <c r="BO117" s="26" t="s">
        <v>172</v>
      </c>
      <c r="BP117" s="26" t="s">
        <v>28</v>
      </c>
      <c r="BQ117">
        <v>123.63</v>
      </c>
      <c r="BR117">
        <v>237.48</v>
      </c>
      <c r="BS117">
        <v>206.93</v>
      </c>
      <c r="BT117">
        <v>299.92</v>
      </c>
      <c r="BU117">
        <v>9.81</v>
      </c>
      <c r="BV117">
        <v>38.76</v>
      </c>
      <c r="BW117">
        <v>7.67</v>
      </c>
      <c r="BX117" s="26">
        <v>0</v>
      </c>
      <c r="BY117" s="26">
        <v>0</v>
      </c>
      <c r="BZ117">
        <v>8.7899999999999991</v>
      </c>
      <c r="CA117">
        <v>68.58</v>
      </c>
      <c r="CB117">
        <v>2.79</v>
      </c>
    </row>
    <row r="118" spans="1:80" x14ac:dyDescent="0.25">
      <c r="A118" s="26">
        <v>798</v>
      </c>
      <c r="B118" s="26" t="s">
        <v>226</v>
      </c>
      <c r="C118" s="26" t="s">
        <v>156</v>
      </c>
      <c r="D118" s="26" t="s">
        <v>25</v>
      </c>
      <c r="E118" s="1">
        <v>5</v>
      </c>
      <c r="F118" s="5">
        <v>55</v>
      </c>
      <c r="G118" s="1">
        <v>275</v>
      </c>
      <c r="H118" s="1">
        <v>68.58</v>
      </c>
      <c r="I118" s="1">
        <v>342.9</v>
      </c>
      <c r="J118" s="1">
        <v>67.899999999999977</v>
      </c>
      <c r="K118" s="5" t="s">
        <v>60</v>
      </c>
      <c r="L118" s="26" t="s">
        <v>60</v>
      </c>
      <c r="M118" s="26" t="s">
        <v>169</v>
      </c>
      <c r="N118" s="26" t="s">
        <v>326</v>
      </c>
      <c r="O118" s="26" t="s">
        <v>60</v>
      </c>
      <c r="P118" s="26" t="s">
        <v>60</v>
      </c>
      <c r="Q118" s="26" t="s">
        <v>60</v>
      </c>
      <c r="R118" s="26" t="s">
        <v>60</v>
      </c>
      <c r="S118" s="26" t="s">
        <v>90</v>
      </c>
      <c r="T118" s="26" t="s">
        <v>327</v>
      </c>
      <c r="U118" s="26" t="s">
        <v>233</v>
      </c>
      <c r="V118" s="26" t="s">
        <v>328</v>
      </c>
      <c r="W118" s="26" t="s">
        <v>135</v>
      </c>
      <c r="X118" s="26" t="s">
        <v>332</v>
      </c>
      <c r="Y118" s="26" t="s">
        <v>55</v>
      </c>
      <c r="Z118" s="26" t="s">
        <v>56</v>
      </c>
      <c r="AA118" s="26" t="s">
        <v>60</v>
      </c>
      <c r="AB118" s="26" t="s">
        <v>60</v>
      </c>
      <c r="AC118" s="26" t="s">
        <v>60</v>
      </c>
      <c r="AD118" s="26" t="s">
        <v>60</v>
      </c>
      <c r="AE118" s="26" t="s">
        <v>60</v>
      </c>
      <c r="AF118" s="26" t="s">
        <v>60</v>
      </c>
      <c r="AG118" s="26" t="s">
        <v>169</v>
      </c>
      <c r="AH118" s="26" t="s">
        <v>330</v>
      </c>
      <c r="AI118" t="s">
        <v>133</v>
      </c>
      <c r="AJ118" t="s">
        <v>331</v>
      </c>
      <c r="AK118">
        <v>5</v>
      </c>
      <c r="AL118">
        <v>275</v>
      </c>
      <c r="AM118" s="26" t="s">
        <v>57</v>
      </c>
      <c r="AN118" s="26" t="s">
        <v>58</v>
      </c>
      <c r="AO118" s="26">
        <v>0</v>
      </c>
      <c r="AP118" s="26">
        <v>0</v>
      </c>
      <c r="AQ118" t="s">
        <v>60</v>
      </c>
      <c r="AR118" t="s">
        <v>60</v>
      </c>
      <c r="AS118" s="26" t="s">
        <v>60</v>
      </c>
      <c r="AT118" s="26" t="s">
        <v>60</v>
      </c>
      <c r="AU118" s="26" t="s">
        <v>60</v>
      </c>
      <c r="AV118" s="26" t="s">
        <v>59</v>
      </c>
      <c r="AW118" s="26" t="s">
        <v>517</v>
      </c>
      <c r="AX118" s="26" t="s">
        <v>517</v>
      </c>
      <c r="AY118" s="26" t="s">
        <v>519</v>
      </c>
      <c r="AZ118" s="26" t="s">
        <v>520</v>
      </c>
      <c r="BA118" s="26" t="s">
        <v>518</v>
      </c>
      <c r="BB118" s="26" t="s">
        <v>191</v>
      </c>
      <c r="BC118" s="26" t="s">
        <v>121</v>
      </c>
      <c r="BD118" s="26" t="s">
        <v>566</v>
      </c>
      <c r="BE118" s="26" t="s">
        <v>60</v>
      </c>
      <c r="BF118" s="26" t="s">
        <v>60</v>
      </c>
      <c r="BG118" s="26" t="s">
        <v>60</v>
      </c>
      <c r="BH118" s="26" t="s">
        <v>60</v>
      </c>
      <c r="BI118" s="26" t="s">
        <v>60</v>
      </c>
      <c r="BJ118" s="26" t="s">
        <v>60</v>
      </c>
      <c r="BK118" s="26" t="s">
        <v>60</v>
      </c>
      <c r="BL118" s="26" t="s">
        <v>335</v>
      </c>
      <c r="BM118" s="6">
        <v>45207</v>
      </c>
      <c r="BN118" s="26" t="s">
        <v>45</v>
      </c>
      <c r="BO118" s="26" t="s">
        <v>172</v>
      </c>
      <c r="BP118" s="26" t="s">
        <v>28</v>
      </c>
      <c r="BQ118">
        <v>123.63</v>
      </c>
      <c r="BR118">
        <v>237.48</v>
      </c>
      <c r="BS118">
        <v>206.93</v>
      </c>
      <c r="BT118">
        <v>299.92</v>
      </c>
      <c r="BU118">
        <v>9.81</v>
      </c>
      <c r="BV118">
        <v>38.76</v>
      </c>
      <c r="BW118">
        <v>7.67</v>
      </c>
      <c r="BX118" s="26">
        <v>0</v>
      </c>
      <c r="BY118" s="26">
        <v>0</v>
      </c>
      <c r="BZ118">
        <v>8.7899999999999991</v>
      </c>
      <c r="CA118">
        <v>68.58</v>
      </c>
      <c r="CB118">
        <v>2.79</v>
      </c>
    </row>
    <row r="119" spans="1:80" x14ac:dyDescent="0.25">
      <c r="A119" s="26">
        <v>798</v>
      </c>
      <c r="B119" s="26" t="s">
        <v>226</v>
      </c>
      <c r="C119" s="26" t="s">
        <v>156</v>
      </c>
      <c r="D119" s="26" t="s">
        <v>14</v>
      </c>
      <c r="E119" s="1">
        <v>16</v>
      </c>
      <c r="F119" s="5">
        <v>2.48</v>
      </c>
      <c r="G119" s="1">
        <v>39.68</v>
      </c>
      <c r="H119" s="1">
        <v>2.79</v>
      </c>
      <c r="I119" s="1">
        <v>44.64</v>
      </c>
      <c r="J119" s="1">
        <v>4.9600000000000009</v>
      </c>
      <c r="K119" s="5" t="s">
        <v>60</v>
      </c>
      <c r="L119" s="26" t="s">
        <v>60</v>
      </c>
      <c r="M119" s="26" t="s">
        <v>169</v>
      </c>
      <c r="N119" s="26" t="s">
        <v>326</v>
      </c>
      <c r="O119" s="26" t="s">
        <v>60</v>
      </c>
      <c r="P119" s="26" t="s">
        <v>60</v>
      </c>
      <c r="Q119" s="26" t="s">
        <v>60</v>
      </c>
      <c r="R119" s="26" t="s">
        <v>60</v>
      </c>
      <c r="S119" s="26" t="s">
        <v>90</v>
      </c>
      <c r="T119" s="26" t="s">
        <v>327</v>
      </c>
      <c r="U119" s="26" t="s">
        <v>233</v>
      </c>
      <c r="V119" s="26" t="s">
        <v>328</v>
      </c>
      <c r="W119" s="26" t="s">
        <v>135</v>
      </c>
      <c r="X119" s="26" t="s">
        <v>332</v>
      </c>
      <c r="Y119" s="26" t="s">
        <v>55</v>
      </c>
      <c r="Z119" s="26" t="s">
        <v>56</v>
      </c>
      <c r="AA119" s="26" t="s">
        <v>60</v>
      </c>
      <c r="AB119" s="26" t="s">
        <v>60</v>
      </c>
      <c r="AC119" s="26" t="s">
        <v>60</v>
      </c>
      <c r="AD119" s="26" t="s">
        <v>60</v>
      </c>
      <c r="AE119" s="26" t="s">
        <v>60</v>
      </c>
      <c r="AF119" s="26" t="s">
        <v>60</v>
      </c>
      <c r="AG119" s="26"/>
      <c r="AH119" s="26"/>
      <c r="AI119" t="s">
        <v>133</v>
      </c>
      <c r="AJ119" t="s">
        <v>331</v>
      </c>
      <c r="AK119" t="s">
        <v>431</v>
      </c>
      <c r="AL119" t="s">
        <v>432</v>
      </c>
      <c r="AM119" s="26" t="s">
        <v>57</v>
      </c>
      <c r="AN119" s="26" t="s">
        <v>58</v>
      </c>
      <c r="AO119" s="26" t="s">
        <v>60</v>
      </c>
      <c r="AP119" s="26" t="s">
        <v>60</v>
      </c>
      <c r="AQ119" t="s">
        <v>60</v>
      </c>
      <c r="AR119" t="s">
        <v>60</v>
      </c>
      <c r="AS119" s="26"/>
      <c r="AT119" s="26"/>
      <c r="AU119" s="26"/>
      <c r="AV119" s="26" t="s">
        <v>59</v>
      </c>
      <c r="AW119" s="26"/>
      <c r="AX119" s="26"/>
      <c r="AY119" s="26"/>
      <c r="AZ119" s="26"/>
      <c r="BA119" s="26"/>
      <c r="BB119" s="26" t="s">
        <v>191</v>
      </c>
      <c r="BC119" s="26"/>
      <c r="BD119" s="26"/>
      <c r="BE119" s="26"/>
      <c r="BF119" s="26"/>
      <c r="BG119" s="26"/>
      <c r="BH119" s="26"/>
      <c r="BI119" s="26"/>
      <c r="BJ119" s="26"/>
      <c r="BK119" s="26"/>
      <c r="BL119" s="26" t="s">
        <v>335</v>
      </c>
      <c r="BM119" s="6">
        <v>45207</v>
      </c>
      <c r="BN119" s="26" t="s">
        <v>45</v>
      </c>
      <c r="BO119" s="26" t="s">
        <v>172</v>
      </c>
      <c r="BP119" s="26" t="s">
        <v>28</v>
      </c>
      <c r="BQ119">
        <v>123.63</v>
      </c>
      <c r="BR119">
        <v>237.48</v>
      </c>
      <c r="BS119">
        <v>206.93</v>
      </c>
      <c r="BT119">
        <v>299.92</v>
      </c>
      <c r="BU119">
        <v>9.81</v>
      </c>
      <c r="BV119">
        <v>38.76</v>
      </c>
      <c r="BW119">
        <v>7.67</v>
      </c>
      <c r="BX119" s="26">
        <v>0</v>
      </c>
      <c r="BY119" s="26">
        <v>0</v>
      </c>
      <c r="BZ119">
        <v>8.7899999999999991</v>
      </c>
      <c r="CA119">
        <v>68.58</v>
      </c>
      <c r="CB119">
        <v>2.79</v>
      </c>
    </row>
    <row r="120" spans="1:80" x14ac:dyDescent="0.25">
      <c r="A120" s="26">
        <v>772</v>
      </c>
      <c r="B120" s="26" t="s">
        <v>173</v>
      </c>
      <c r="C120" s="26" t="s">
        <v>174</v>
      </c>
      <c r="D120" s="26" t="s">
        <v>18</v>
      </c>
      <c r="E120" s="1">
        <v>8</v>
      </c>
      <c r="F120" s="5">
        <v>84.4</v>
      </c>
      <c r="G120" s="1">
        <v>675.2</v>
      </c>
      <c r="H120" s="1">
        <v>123.63</v>
      </c>
      <c r="I120" s="1">
        <v>989.04</v>
      </c>
      <c r="J120" s="1">
        <v>313.83999999999992</v>
      </c>
      <c r="K120" s="5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M120" s="26"/>
      <c r="AN120" s="26"/>
      <c r="AO120" s="26"/>
      <c r="AP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6">
        <v>45202</v>
      </c>
      <c r="BN120" s="26" t="s">
        <v>45</v>
      </c>
      <c r="BO120" s="26" t="s">
        <v>268</v>
      </c>
      <c r="BP120" s="26" t="s">
        <v>28</v>
      </c>
      <c r="BQ120">
        <v>123.63</v>
      </c>
      <c r="BR120">
        <v>237.48</v>
      </c>
      <c r="BS120">
        <v>206.93</v>
      </c>
      <c r="BT120">
        <v>299.92</v>
      </c>
      <c r="BU120">
        <v>9.81</v>
      </c>
      <c r="BV120">
        <v>38.76</v>
      </c>
      <c r="BW120">
        <v>7.67</v>
      </c>
      <c r="BX120" s="26">
        <v>0</v>
      </c>
      <c r="BY120" s="26">
        <v>0</v>
      </c>
      <c r="BZ120">
        <v>8.7899999999999991</v>
      </c>
      <c r="CA120">
        <v>68.58</v>
      </c>
      <c r="CB120">
        <v>2.79</v>
      </c>
    </row>
    <row r="121" spans="1:80" x14ac:dyDescent="0.25">
      <c r="A121" s="26">
        <v>772</v>
      </c>
      <c r="B121" s="26" t="s">
        <v>173</v>
      </c>
      <c r="C121" s="26" t="s">
        <v>174</v>
      </c>
      <c r="D121" s="26" t="s">
        <v>19</v>
      </c>
      <c r="E121" s="1">
        <v>3</v>
      </c>
      <c r="F121" s="5">
        <v>168.8</v>
      </c>
      <c r="G121" s="1">
        <v>506.4</v>
      </c>
      <c r="H121" s="1">
        <v>206.93</v>
      </c>
      <c r="I121" s="1">
        <v>620.79</v>
      </c>
      <c r="J121" s="1">
        <v>114.38999999999999</v>
      </c>
      <c r="K121" s="5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M121" s="26"/>
      <c r="AN121" s="26"/>
      <c r="AO121" s="26"/>
      <c r="AP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6">
        <v>45202</v>
      </c>
      <c r="BN121" s="26" t="s">
        <v>45</v>
      </c>
      <c r="BO121" s="26" t="s">
        <v>268</v>
      </c>
      <c r="BP121" s="26" t="s">
        <v>28</v>
      </c>
      <c r="BQ121">
        <v>123.63</v>
      </c>
      <c r="BR121">
        <v>237.48</v>
      </c>
      <c r="BS121">
        <v>206.93</v>
      </c>
      <c r="BT121">
        <v>299.92</v>
      </c>
      <c r="BU121">
        <v>9.81</v>
      </c>
      <c r="BV121">
        <v>38.76</v>
      </c>
      <c r="BW121">
        <v>7.67</v>
      </c>
      <c r="BX121" s="26">
        <v>0</v>
      </c>
      <c r="BY121" s="26">
        <v>0</v>
      </c>
      <c r="BZ121">
        <v>8.7899999999999991</v>
      </c>
      <c r="CA121">
        <v>68.58</v>
      </c>
      <c r="CB121">
        <v>2.79</v>
      </c>
    </row>
    <row r="122" spans="1:80" x14ac:dyDescent="0.25">
      <c r="A122" s="26">
        <v>772</v>
      </c>
      <c r="B122" s="26" t="s">
        <v>173</v>
      </c>
      <c r="C122" s="26" t="s">
        <v>174</v>
      </c>
      <c r="D122" s="26" t="s">
        <v>18</v>
      </c>
      <c r="E122" s="1">
        <v>8</v>
      </c>
      <c r="F122" s="5">
        <v>84.4</v>
      </c>
      <c r="G122" s="1">
        <v>675.2</v>
      </c>
      <c r="H122" s="1">
        <v>123.63</v>
      </c>
      <c r="I122" s="1">
        <v>989.04</v>
      </c>
      <c r="J122" s="1">
        <v>313.83999999999992</v>
      </c>
      <c r="K122" s="5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M122" s="26"/>
      <c r="AN122" s="26"/>
      <c r="AO122" s="26"/>
      <c r="AP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6">
        <v>45203</v>
      </c>
      <c r="BN122" s="26" t="s">
        <v>45</v>
      </c>
      <c r="BO122" s="26" t="s">
        <v>268</v>
      </c>
      <c r="BP122" s="26" t="s">
        <v>28</v>
      </c>
      <c r="BQ122">
        <v>123.63</v>
      </c>
      <c r="BR122">
        <v>237.48</v>
      </c>
      <c r="BS122">
        <v>206.93</v>
      </c>
      <c r="BT122">
        <v>299.92</v>
      </c>
      <c r="BU122">
        <v>9.81</v>
      </c>
      <c r="BV122">
        <v>38.76</v>
      </c>
      <c r="BW122">
        <v>7.67</v>
      </c>
      <c r="BX122" s="26">
        <v>0</v>
      </c>
      <c r="BY122" s="26">
        <v>0</v>
      </c>
      <c r="BZ122">
        <v>8.7899999999999991</v>
      </c>
      <c r="CA122">
        <v>68.58</v>
      </c>
      <c r="CB122">
        <v>2.79</v>
      </c>
    </row>
    <row r="123" spans="1:80" x14ac:dyDescent="0.25">
      <c r="A123" s="26">
        <v>772</v>
      </c>
      <c r="B123" s="26" t="s">
        <v>173</v>
      </c>
      <c r="C123" s="26" t="s">
        <v>174</v>
      </c>
      <c r="D123" s="26" t="s">
        <v>19</v>
      </c>
      <c r="E123" s="1">
        <v>3.5</v>
      </c>
      <c r="F123" s="5">
        <v>168.8</v>
      </c>
      <c r="G123" s="1">
        <v>590.79999999999995</v>
      </c>
      <c r="H123" s="1">
        <v>206.93</v>
      </c>
      <c r="I123" s="1">
        <v>724.255</v>
      </c>
      <c r="J123" s="1">
        <v>133.45500000000004</v>
      </c>
      <c r="K123" s="5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M123" s="26"/>
      <c r="AN123" s="26"/>
      <c r="AO123" s="26"/>
      <c r="AP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6">
        <v>45203</v>
      </c>
      <c r="BN123" s="26" t="s">
        <v>45</v>
      </c>
      <c r="BO123" s="26" t="s">
        <v>268</v>
      </c>
      <c r="BP123" s="26" t="s">
        <v>28</v>
      </c>
      <c r="BQ123">
        <v>123.63</v>
      </c>
      <c r="BR123">
        <v>237.48</v>
      </c>
      <c r="BS123">
        <v>206.93</v>
      </c>
      <c r="BT123">
        <v>299.92</v>
      </c>
      <c r="BU123">
        <v>9.81</v>
      </c>
      <c r="BV123">
        <v>38.76</v>
      </c>
      <c r="BW123">
        <v>7.67</v>
      </c>
      <c r="BX123" s="26">
        <v>0</v>
      </c>
      <c r="BY123" s="26">
        <v>0</v>
      </c>
      <c r="BZ123">
        <v>8.7899999999999991</v>
      </c>
      <c r="CA123">
        <v>68.58</v>
      </c>
      <c r="CB123">
        <v>2.79</v>
      </c>
    </row>
    <row r="124" spans="1:80" x14ac:dyDescent="0.25">
      <c r="A124" s="26">
        <v>772</v>
      </c>
      <c r="B124" s="26" t="s">
        <v>173</v>
      </c>
      <c r="C124" s="26" t="s">
        <v>174</v>
      </c>
      <c r="D124" s="26" t="s">
        <v>18</v>
      </c>
      <c r="E124" s="1">
        <v>8</v>
      </c>
      <c r="F124" s="5">
        <v>84.4</v>
      </c>
      <c r="G124" s="1">
        <v>675.2</v>
      </c>
      <c r="H124" s="1">
        <v>123.63</v>
      </c>
      <c r="I124" s="1">
        <v>989.04</v>
      </c>
      <c r="J124" s="1">
        <v>313.83999999999992</v>
      </c>
      <c r="K124" s="5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M124" s="26"/>
      <c r="AN124" s="26"/>
      <c r="AO124" s="26"/>
      <c r="AP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6">
        <v>45204</v>
      </c>
      <c r="BN124" s="26" t="s">
        <v>45</v>
      </c>
      <c r="BO124" s="26" t="s">
        <v>268</v>
      </c>
      <c r="BP124" s="26" t="s">
        <v>28</v>
      </c>
      <c r="BQ124">
        <v>123.63</v>
      </c>
      <c r="BR124">
        <v>237.48</v>
      </c>
      <c r="BS124">
        <v>206.93</v>
      </c>
      <c r="BT124">
        <v>299.92</v>
      </c>
      <c r="BU124">
        <v>9.81</v>
      </c>
      <c r="BV124">
        <v>38.76</v>
      </c>
      <c r="BW124">
        <v>7.67</v>
      </c>
      <c r="BX124" s="26">
        <v>0</v>
      </c>
      <c r="BY124" s="26">
        <v>0</v>
      </c>
      <c r="BZ124">
        <v>8.7899999999999991</v>
      </c>
      <c r="CA124">
        <v>68.58</v>
      </c>
      <c r="CB124">
        <v>2.79</v>
      </c>
    </row>
    <row r="125" spans="1:80" x14ac:dyDescent="0.25">
      <c r="A125" s="26">
        <v>772</v>
      </c>
      <c r="B125" s="26" t="s">
        <v>173</v>
      </c>
      <c r="C125" s="26" t="s">
        <v>174</v>
      </c>
      <c r="D125" s="26" t="s">
        <v>19</v>
      </c>
      <c r="E125" s="1">
        <v>2</v>
      </c>
      <c r="F125" s="5">
        <v>168.8</v>
      </c>
      <c r="G125" s="1">
        <v>337.6</v>
      </c>
      <c r="H125" s="1">
        <v>206.93</v>
      </c>
      <c r="I125" s="1">
        <v>413.86</v>
      </c>
      <c r="J125" s="1">
        <v>76.259999999999991</v>
      </c>
      <c r="K125" s="5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M125" s="26"/>
      <c r="AN125" s="26"/>
      <c r="AO125" s="26"/>
      <c r="AP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6">
        <v>45204</v>
      </c>
      <c r="BN125" s="26" t="s">
        <v>45</v>
      </c>
      <c r="BO125" s="26" t="s">
        <v>268</v>
      </c>
      <c r="BP125" s="26" t="s">
        <v>28</v>
      </c>
      <c r="BQ125">
        <v>123.63</v>
      </c>
      <c r="BR125">
        <v>237.48</v>
      </c>
      <c r="BS125">
        <v>206.93</v>
      </c>
      <c r="BT125">
        <v>299.92</v>
      </c>
      <c r="BU125">
        <v>9.81</v>
      </c>
      <c r="BV125">
        <v>38.76</v>
      </c>
      <c r="BW125">
        <v>7.67</v>
      </c>
      <c r="BX125" s="26">
        <v>0</v>
      </c>
      <c r="BY125" s="26">
        <v>0</v>
      </c>
      <c r="BZ125">
        <v>8.7899999999999991</v>
      </c>
      <c r="CA125">
        <v>68.58</v>
      </c>
      <c r="CB125">
        <v>2.79</v>
      </c>
    </row>
    <row r="126" spans="1:80" x14ac:dyDescent="0.25">
      <c r="A126" s="26">
        <v>772</v>
      </c>
      <c r="B126" s="26" t="s">
        <v>173</v>
      </c>
      <c r="C126" s="26" t="s">
        <v>174</v>
      </c>
      <c r="D126" s="26" t="s">
        <v>18</v>
      </c>
      <c r="E126" s="1">
        <v>8</v>
      </c>
      <c r="F126" s="5">
        <v>84.4</v>
      </c>
      <c r="G126" s="1">
        <v>675.2</v>
      </c>
      <c r="H126" s="1">
        <v>123.63</v>
      </c>
      <c r="I126" s="1">
        <v>989.04</v>
      </c>
      <c r="J126" s="1">
        <v>313.83999999999992</v>
      </c>
      <c r="K126" s="5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M126" s="26"/>
      <c r="AN126" s="26"/>
      <c r="AO126" s="26"/>
      <c r="AP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6">
        <v>45205</v>
      </c>
      <c r="BN126" s="26" t="s">
        <v>45</v>
      </c>
      <c r="BO126" s="26" t="s">
        <v>268</v>
      </c>
      <c r="BP126" s="26" t="s">
        <v>28</v>
      </c>
      <c r="BQ126">
        <v>123.63</v>
      </c>
      <c r="BR126">
        <v>237.48</v>
      </c>
      <c r="BS126">
        <v>206.93</v>
      </c>
      <c r="BT126">
        <v>299.92</v>
      </c>
      <c r="BU126">
        <v>9.81</v>
      </c>
      <c r="BV126">
        <v>38.76</v>
      </c>
      <c r="BW126">
        <v>7.67</v>
      </c>
      <c r="BX126" s="26">
        <v>0</v>
      </c>
      <c r="BY126" s="26">
        <v>0</v>
      </c>
      <c r="BZ126">
        <v>8.7899999999999991</v>
      </c>
      <c r="CA126">
        <v>68.58</v>
      </c>
      <c r="CB126">
        <v>2.79</v>
      </c>
    </row>
    <row r="127" spans="1:80" x14ac:dyDescent="0.25">
      <c r="A127" s="26">
        <v>772</v>
      </c>
      <c r="B127" s="26" t="s">
        <v>173</v>
      </c>
      <c r="C127" s="26" t="s">
        <v>174</v>
      </c>
      <c r="D127" s="26" t="s">
        <v>19</v>
      </c>
      <c r="E127" s="1">
        <v>2.5</v>
      </c>
      <c r="F127" s="5">
        <v>168.8</v>
      </c>
      <c r="G127" s="1">
        <v>422</v>
      </c>
      <c r="H127" s="1">
        <v>206.93</v>
      </c>
      <c r="I127" s="1">
        <v>517.32500000000005</v>
      </c>
      <c r="J127" s="1">
        <v>95.325000000000045</v>
      </c>
      <c r="K127" s="5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M127" s="26"/>
      <c r="AN127" s="26"/>
      <c r="AO127" s="26"/>
      <c r="AP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6">
        <v>45205</v>
      </c>
      <c r="BN127" s="26" t="s">
        <v>45</v>
      </c>
      <c r="BO127" s="26" t="s">
        <v>268</v>
      </c>
      <c r="BP127" s="26" t="s">
        <v>28</v>
      </c>
      <c r="BQ127">
        <v>123.63</v>
      </c>
      <c r="BR127">
        <v>237.48</v>
      </c>
      <c r="BS127">
        <v>206.93</v>
      </c>
      <c r="BT127">
        <v>299.92</v>
      </c>
      <c r="BU127">
        <v>9.81</v>
      </c>
      <c r="BV127">
        <v>38.76</v>
      </c>
      <c r="BW127">
        <v>7.67</v>
      </c>
      <c r="BX127" s="26">
        <v>0</v>
      </c>
      <c r="BY127" s="26">
        <v>0</v>
      </c>
      <c r="BZ127">
        <v>8.7899999999999991</v>
      </c>
      <c r="CA127">
        <v>68.58</v>
      </c>
      <c r="CB127">
        <v>2.79</v>
      </c>
    </row>
    <row r="128" spans="1:80" x14ac:dyDescent="0.25">
      <c r="A128" s="26">
        <v>772</v>
      </c>
      <c r="B128" s="26" t="s">
        <v>173</v>
      </c>
      <c r="C128" s="26" t="s">
        <v>174</v>
      </c>
      <c r="D128" s="26" t="s">
        <v>19</v>
      </c>
      <c r="E128" s="1">
        <v>6.5</v>
      </c>
      <c r="F128" s="5">
        <v>168.8</v>
      </c>
      <c r="G128" s="1">
        <v>1097.2</v>
      </c>
      <c r="H128" s="1">
        <v>206.93</v>
      </c>
      <c r="I128" s="1">
        <v>1345.0450000000001</v>
      </c>
      <c r="J128" s="1">
        <v>247.84500000000003</v>
      </c>
      <c r="K128" s="5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M128" s="26"/>
      <c r="AN128" s="26"/>
      <c r="AO128" s="26"/>
      <c r="AP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6">
        <v>45206</v>
      </c>
      <c r="BN128" s="26" t="s">
        <v>45</v>
      </c>
      <c r="BO128" s="26" t="s">
        <v>268</v>
      </c>
      <c r="BP128" s="26" t="s">
        <v>28</v>
      </c>
      <c r="BQ128">
        <v>123.63</v>
      </c>
      <c r="BR128">
        <v>237.48</v>
      </c>
      <c r="BS128">
        <v>206.93</v>
      </c>
      <c r="BT128">
        <v>299.92</v>
      </c>
      <c r="BU128">
        <v>9.81</v>
      </c>
      <c r="BV128">
        <v>38.76</v>
      </c>
      <c r="BW128">
        <v>7.67</v>
      </c>
      <c r="BX128" s="26">
        <v>0</v>
      </c>
      <c r="BY128" s="26">
        <v>0</v>
      </c>
      <c r="BZ128">
        <v>8.7899999999999991</v>
      </c>
      <c r="CA128">
        <v>68.58</v>
      </c>
      <c r="CB128">
        <v>2.79</v>
      </c>
    </row>
    <row r="129" spans="1:80" x14ac:dyDescent="0.25">
      <c r="A129" s="26">
        <v>772</v>
      </c>
      <c r="B129" s="26" t="s">
        <v>333</v>
      </c>
      <c r="C129" s="26" t="s">
        <v>174</v>
      </c>
      <c r="D129" s="26" t="s">
        <v>22</v>
      </c>
      <c r="E129" s="1">
        <v>49.5</v>
      </c>
      <c r="F129" s="5">
        <v>7.6999999999999993</v>
      </c>
      <c r="G129" s="1">
        <v>381.15</v>
      </c>
      <c r="H129" s="1">
        <v>9.81</v>
      </c>
      <c r="I129" s="1">
        <v>485.59500000000003</v>
      </c>
      <c r="J129" s="1">
        <v>104.44500000000005</v>
      </c>
      <c r="K129" s="5" t="s">
        <v>135</v>
      </c>
      <c r="L129" s="26" t="s">
        <v>326</v>
      </c>
      <c r="M129" s="26" t="s">
        <v>450</v>
      </c>
      <c r="N129" s="26" t="s">
        <v>451</v>
      </c>
      <c r="O129" s="26" t="s">
        <v>60</v>
      </c>
      <c r="P129" s="26" t="s">
        <v>60</v>
      </c>
      <c r="Q129" s="26" t="s">
        <v>60</v>
      </c>
      <c r="R129" s="26" t="s">
        <v>60</v>
      </c>
      <c r="S129" s="26" t="s">
        <v>90</v>
      </c>
      <c r="T129" s="26" t="s">
        <v>327</v>
      </c>
      <c r="U129" s="26" t="s">
        <v>233</v>
      </c>
      <c r="V129" s="26" t="s">
        <v>328</v>
      </c>
      <c r="W129" s="26" t="s">
        <v>60</v>
      </c>
      <c r="X129" s="26" t="s">
        <v>60</v>
      </c>
      <c r="Y129" s="26" t="s">
        <v>55</v>
      </c>
      <c r="Z129" s="26" t="s">
        <v>56</v>
      </c>
      <c r="AA129" s="26" t="s">
        <v>60</v>
      </c>
      <c r="AB129" s="26" t="s">
        <v>60</v>
      </c>
      <c r="AC129" s="26" t="s">
        <v>60</v>
      </c>
      <c r="AD129" s="26" t="s">
        <v>60</v>
      </c>
      <c r="AE129" s="26" t="s">
        <v>60</v>
      </c>
      <c r="AF129" s="26" t="s">
        <v>60</v>
      </c>
      <c r="AG129" s="26" t="s">
        <v>450</v>
      </c>
      <c r="AH129" s="26" t="s">
        <v>452</v>
      </c>
      <c r="AI129" t="s">
        <v>431</v>
      </c>
      <c r="AJ129" t="s">
        <v>433</v>
      </c>
      <c r="AK129" t="s">
        <v>167</v>
      </c>
      <c r="AL129" t="s">
        <v>434</v>
      </c>
      <c r="AM129" s="26" t="s">
        <v>57</v>
      </c>
      <c r="AN129" s="26" t="s">
        <v>58</v>
      </c>
      <c r="AO129" s="26"/>
      <c r="AP129" s="26"/>
      <c r="AS129" s="26"/>
      <c r="AT129" s="26"/>
      <c r="AU129" s="26"/>
      <c r="AV129" s="26" t="s">
        <v>59</v>
      </c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6">
        <v>45207</v>
      </c>
      <c r="BN129" s="26" t="s">
        <v>45</v>
      </c>
      <c r="BO129" s="26" t="s">
        <v>268</v>
      </c>
      <c r="BP129" s="26" t="s">
        <v>28</v>
      </c>
      <c r="BQ129">
        <v>123.63</v>
      </c>
      <c r="BR129">
        <v>237.48</v>
      </c>
      <c r="BS129">
        <v>206.93</v>
      </c>
      <c r="BT129">
        <v>299.92</v>
      </c>
      <c r="BU129">
        <v>9.81</v>
      </c>
      <c r="BV129">
        <v>38.76</v>
      </c>
      <c r="BW129">
        <v>7.67</v>
      </c>
      <c r="BX129" s="26">
        <v>0</v>
      </c>
      <c r="BY129" s="26">
        <v>0</v>
      </c>
      <c r="BZ129">
        <v>8.7899999999999991</v>
      </c>
      <c r="CA129">
        <v>68.58</v>
      </c>
      <c r="CB129">
        <v>2.79</v>
      </c>
    </row>
    <row r="130" spans="1:80" x14ac:dyDescent="0.25">
      <c r="A130" s="26">
        <v>772</v>
      </c>
      <c r="B130" s="26" t="s">
        <v>333</v>
      </c>
      <c r="C130" s="26" t="s">
        <v>174</v>
      </c>
      <c r="D130" s="26" t="s">
        <v>13</v>
      </c>
      <c r="E130" s="1">
        <v>5</v>
      </c>
      <c r="F130" s="5">
        <v>36.089999999999996</v>
      </c>
      <c r="G130" s="1">
        <v>180.45</v>
      </c>
      <c r="H130" s="1">
        <v>38.76</v>
      </c>
      <c r="I130" s="1">
        <v>193.79999999999998</v>
      </c>
      <c r="J130" s="1">
        <v>13.349999999999994</v>
      </c>
      <c r="K130" s="5" t="s">
        <v>135</v>
      </c>
      <c r="L130" s="26" t="s">
        <v>326</v>
      </c>
      <c r="M130" s="26" t="s">
        <v>450</v>
      </c>
      <c r="N130" s="26" t="s">
        <v>451</v>
      </c>
      <c r="O130" s="26" t="s">
        <v>60</v>
      </c>
      <c r="P130" s="26" t="s">
        <v>60</v>
      </c>
      <c r="Q130" s="26" t="s">
        <v>60</v>
      </c>
      <c r="R130" s="26" t="s">
        <v>60</v>
      </c>
      <c r="S130" s="26" t="s">
        <v>90</v>
      </c>
      <c r="T130" s="26" t="s">
        <v>327</v>
      </c>
      <c r="U130" s="26" t="s">
        <v>233</v>
      </c>
      <c r="V130" s="26" t="s">
        <v>328</v>
      </c>
      <c r="W130" s="26" t="s">
        <v>60</v>
      </c>
      <c r="X130" s="26" t="s">
        <v>60</v>
      </c>
      <c r="Y130" s="26" t="s">
        <v>55</v>
      </c>
      <c r="Z130" s="26" t="s">
        <v>56</v>
      </c>
      <c r="AA130" s="26" t="s">
        <v>60</v>
      </c>
      <c r="AB130" s="26" t="s">
        <v>60</v>
      </c>
      <c r="AC130" s="26" t="s">
        <v>60</v>
      </c>
      <c r="AD130" s="26" t="s">
        <v>60</v>
      </c>
      <c r="AE130" s="26" t="s">
        <v>60</v>
      </c>
      <c r="AF130" s="26" t="s">
        <v>60</v>
      </c>
      <c r="AG130" s="26" t="s">
        <v>450</v>
      </c>
      <c r="AH130" s="26" t="s">
        <v>452</v>
      </c>
      <c r="AI130">
        <v>5</v>
      </c>
      <c r="AJ130">
        <v>180.45</v>
      </c>
      <c r="AK130" t="s">
        <v>167</v>
      </c>
      <c r="AL130" t="s">
        <v>434</v>
      </c>
      <c r="AM130" s="26" t="s">
        <v>57</v>
      </c>
      <c r="AN130" s="26" t="s">
        <v>58</v>
      </c>
      <c r="AO130" s="26" t="s">
        <v>60</v>
      </c>
      <c r="AP130" s="26" t="s">
        <v>60</v>
      </c>
      <c r="AQ130">
        <v>0</v>
      </c>
      <c r="AR130">
        <v>0</v>
      </c>
      <c r="AS130" s="26" t="s">
        <v>121</v>
      </c>
      <c r="AT130" s="26" t="s">
        <v>60</v>
      </c>
      <c r="AU130" s="26" t="s">
        <v>60</v>
      </c>
      <c r="AV130" s="26" t="s">
        <v>59</v>
      </c>
      <c r="AW130" s="26" t="s">
        <v>521</v>
      </c>
      <c r="AX130" s="26" t="s">
        <v>522</v>
      </c>
      <c r="AY130" s="26" t="s">
        <v>524</v>
      </c>
      <c r="AZ130" s="26" t="s">
        <v>525</v>
      </c>
      <c r="BA130" s="26" t="s">
        <v>523</v>
      </c>
      <c r="BB130" s="26" t="s">
        <v>526</v>
      </c>
      <c r="BC130" s="26"/>
      <c r="BD130" s="26"/>
      <c r="BE130" s="26"/>
      <c r="BF130" s="26"/>
      <c r="BG130" s="26"/>
      <c r="BH130" s="26"/>
      <c r="BI130" s="26"/>
      <c r="BJ130" s="26"/>
      <c r="BK130" s="26"/>
      <c r="BL130" s="26" t="s">
        <v>527</v>
      </c>
      <c r="BM130" s="6">
        <v>45207</v>
      </c>
      <c r="BN130" s="26" t="s">
        <v>45</v>
      </c>
      <c r="BO130" s="26" t="s">
        <v>268</v>
      </c>
      <c r="BP130" s="26" t="s">
        <v>28</v>
      </c>
      <c r="BQ130">
        <v>123.63</v>
      </c>
      <c r="BR130">
        <v>237.48</v>
      </c>
      <c r="BS130">
        <v>206.93</v>
      </c>
      <c r="BT130">
        <v>299.92</v>
      </c>
      <c r="BU130">
        <v>9.81</v>
      </c>
      <c r="BV130">
        <v>38.76</v>
      </c>
      <c r="BW130">
        <v>7.67</v>
      </c>
      <c r="BX130" s="26">
        <v>0</v>
      </c>
      <c r="BY130" s="26">
        <v>0</v>
      </c>
      <c r="BZ130">
        <v>8.7899999999999991</v>
      </c>
      <c r="CA130">
        <v>68.58</v>
      </c>
      <c r="CB130">
        <v>2.79</v>
      </c>
    </row>
    <row r="131" spans="1:80" x14ac:dyDescent="0.25">
      <c r="A131" s="26">
        <v>772</v>
      </c>
      <c r="B131" s="26" t="s">
        <v>333</v>
      </c>
      <c r="C131" s="26" t="s">
        <v>174</v>
      </c>
      <c r="D131" s="26" t="s">
        <v>25</v>
      </c>
      <c r="E131" s="1">
        <v>6</v>
      </c>
      <c r="F131" s="5">
        <v>55</v>
      </c>
      <c r="G131" s="1">
        <v>330</v>
      </c>
      <c r="H131" s="1">
        <v>68.58</v>
      </c>
      <c r="I131" s="1">
        <v>411.48</v>
      </c>
      <c r="J131" s="1">
        <v>81.480000000000018</v>
      </c>
      <c r="K131" s="5" t="s">
        <v>135</v>
      </c>
      <c r="L131" s="26" t="s">
        <v>326</v>
      </c>
      <c r="M131" s="26" t="s">
        <v>450</v>
      </c>
      <c r="N131" s="26" t="s">
        <v>451</v>
      </c>
      <c r="O131" s="26" t="s">
        <v>60</v>
      </c>
      <c r="P131" s="26" t="s">
        <v>60</v>
      </c>
      <c r="Q131" s="26" t="s">
        <v>60</v>
      </c>
      <c r="R131" s="26" t="s">
        <v>60</v>
      </c>
      <c r="S131" s="26" t="s">
        <v>90</v>
      </c>
      <c r="T131" s="26" t="s">
        <v>327</v>
      </c>
      <c r="U131" s="26" t="s">
        <v>233</v>
      </c>
      <c r="V131" s="26" t="s">
        <v>328</v>
      </c>
      <c r="W131" s="26" t="s">
        <v>60</v>
      </c>
      <c r="X131" s="26" t="s">
        <v>60</v>
      </c>
      <c r="Y131" s="26" t="s">
        <v>55</v>
      </c>
      <c r="Z131" s="26" t="s">
        <v>56</v>
      </c>
      <c r="AA131" s="26" t="s">
        <v>60</v>
      </c>
      <c r="AB131" s="26" t="s">
        <v>60</v>
      </c>
      <c r="AC131" s="26" t="s">
        <v>60</v>
      </c>
      <c r="AD131" s="26" t="s">
        <v>60</v>
      </c>
      <c r="AE131" s="26" t="s">
        <v>60</v>
      </c>
      <c r="AF131" s="26" t="s">
        <v>60</v>
      </c>
      <c r="AG131" s="26" t="s">
        <v>450</v>
      </c>
      <c r="AH131" s="26" t="s">
        <v>452</v>
      </c>
      <c r="AI131" t="s">
        <v>431</v>
      </c>
      <c r="AJ131" t="s">
        <v>433</v>
      </c>
      <c r="AK131">
        <v>6</v>
      </c>
      <c r="AL131">
        <v>330</v>
      </c>
      <c r="AM131" s="26" t="s">
        <v>57</v>
      </c>
      <c r="AN131" s="26" t="s">
        <v>58</v>
      </c>
      <c r="AO131" s="26">
        <v>0</v>
      </c>
      <c r="AP131" s="26">
        <v>0</v>
      </c>
      <c r="AQ131" t="s">
        <v>60</v>
      </c>
      <c r="AR131" t="s">
        <v>60</v>
      </c>
      <c r="AS131" s="26" t="s">
        <v>121</v>
      </c>
      <c r="AT131" s="26" t="s">
        <v>60</v>
      </c>
      <c r="AU131" s="26" t="s">
        <v>60</v>
      </c>
      <c r="AV131" s="26" t="s">
        <v>59</v>
      </c>
      <c r="AW131" s="26" t="s">
        <v>521</v>
      </c>
      <c r="AX131" s="26" t="s">
        <v>522</v>
      </c>
      <c r="AY131" s="26" t="s">
        <v>524</v>
      </c>
      <c r="AZ131" s="26" t="s">
        <v>525</v>
      </c>
      <c r="BA131" s="26" t="s">
        <v>523</v>
      </c>
      <c r="BB131" s="26" t="s">
        <v>526</v>
      </c>
      <c r="BC131" s="26" t="s">
        <v>121</v>
      </c>
      <c r="BD131" s="26" t="s">
        <v>567</v>
      </c>
      <c r="BE131" s="26" t="s">
        <v>60</v>
      </c>
      <c r="BF131" s="26" t="s">
        <v>60</v>
      </c>
      <c r="BG131" s="26" t="s">
        <v>60</v>
      </c>
      <c r="BH131" s="26" t="s">
        <v>60</v>
      </c>
      <c r="BI131" s="26" t="s">
        <v>60</v>
      </c>
      <c r="BJ131" s="26" t="s">
        <v>60</v>
      </c>
      <c r="BK131" s="26" t="s">
        <v>60</v>
      </c>
      <c r="BL131" s="26" t="s">
        <v>527</v>
      </c>
      <c r="BM131" s="6">
        <v>45207</v>
      </c>
      <c r="BN131" s="26" t="s">
        <v>45</v>
      </c>
      <c r="BO131" s="26" t="s">
        <v>268</v>
      </c>
      <c r="BP131" s="26" t="s">
        <v>28</v>
      </c>
      <c r="BQ131">
        <v>123.63</v>
      </c>
      <c r="BR131">
        <v>237.48</v>
      </c>
      <c r="BS131">
        <v>206.93</v>
      </c>
      <c r="BT131">
        <v>299.92</v>
      </c>
      <c r="BU131">
        <v>9.81</v>
      </c>
      <c r="BV131">
        <v>38.76</v>
      </c>
      <c r="BW131">
        <v>7.67</v>
      </c>
      <c r="BX131" s="26">
        <v>0</v>
      </c>
      <c r="BY131" s="26">
        <v>0</v>
      </c>
      <c r="BZ131">
        <v>8.7899999999999991</v>
      </c>
      <c r="CA131">
        <v>68.58</v>
      </c>
      <c r="CB131">
        <v>2.79</v>
      </c>
    </row>
    <row r="132" spans="1:80" x14ac:dyDescent="0.25">
      <c r="A132" s="26">
        <v>772</v>
      </c>
      <c r="B132" s="26" t="s">
        <v>333</v>
      </c>
      <c r="C132" s="26" t="s">
        <v>174</v>
      </c>
      <c r="D132" s="26" t="s">
        <v>14</v>
      </c>
      <c r="E132" s="1">
        <v>17.5</v>
      </c>
      <c r="F132" s="5">
        <v>2.48</v>
      </c>
      <c r="G132" s="1">
        <v>43.4</v>
      </c>
      <c r="H132" s="1">
        <v>2.79</v>
      </c>
      <c r="I132" s="1">
        <v>48.825000000000003</v>
      </c>
      <c r="J132" s="1">
        <v>5.4250000000000043</v>
      </c>
      <c r="K132" s="5" t="s">
        <v>135</v>
      </c>
      <c r="L132" s="26" t="s">
        <v>326</v>
      </c>
      <c r="M132" s="26" t="s">
        <v>450</v>
      </c>
      <c r="N132" s="26" t="s">
        <v>451</v>
      </c>
      <c r="O132" s="26" t="s">
        <v>60</v>
      </c>
      <c r="P132" s="26" t="s">
        <v>60</v>
      </c>
      <c r="Q132" s="26" t="s">
        <v>60</v>
      </c>
      <c r="R132" s="26" t="s">
        <v>60</v>
      </c>
      <c r="S132" s="26" t="s">
        <v>90</v>
      </c>
      <c r="T132" s="26" t="s">
        <v>327</v>
      </c>
      <c r="U132" s="26" t="s">
        <v>233</v>
      </c>
      <c r="V132" s="26" t="s">
        <v>328</v>
      </c>
      <c r="W132" s="26" t="s">
        <v>60</v>
      </c>
      <c r="X132" s="26" t="s">
        <v>60</v>
      </c>
      <c r="Y132" s="26" t="s">
        <v>55</v>
      </c>
      <c r="Z132" s="26" t="s">
        <v>56</v>
      </c>
      <c r="AA132" s="26" t="s">
        <v>60</v>
      </c>
      <c r="AB132" s="26" t="s">
        <v>60</v>
      </c>
      <c r="AC132" s="26" t="s">
        <v>60</v>
      </c>
      <c r="AD132" s="26" t="s">
        <v>60</v>
      </c>
      <c r="AE132" s="26" t="s">
        <v>60</v>
      </c>
      <c r="AF132" s="26" t="s">
        <v>60</v>
      </c>
      <c r="AG132" s="26"/>
      <c r="AH132" s="26"/>
      <c r="AI132" t="s">
        <v>431</v>
      </c>
      <c r="AJ132" t="s">
        <v>433</v>
      </c>
      <c r="AK132" t="s">
        <v>167</v>
      </c>
      <c r="AL132" t="s">
        <v>434</v>
      </c>
      <c r="AM132" s="26" t="s">
        <v>57</v>
      </c>
      <c r="AN132" s="26" t="s">
        <v>58</v>
      </c>
      <c r="AO132" s="26" t="s">
        <v>60</v>
      </c>
      <c r="AP132" s="26" t="s">
        <v>60</v>
      </c>
      <c r="AQ132" t="s">
        <v>60</v>
      </c>
      <c r="AR132" t="s">
        <v>60</v>
      </c>
      <c r="AS132" s="26"/>
      <c r="AT132" s="26"/>
      <c r="AU132" s="26"/>
      <c r="AV132" s="26" t="s">
        <v>59</v>
      </c>
      <c r="AW132" s="26"/>
      <c r="AX132" s="26"/>
      <c r="AY132" s="26"/>
      <c r="AZ132" s="26"/>
      <c r="BA132" s="26"/>
      <c r="BB132" s="26" t="s">
        <v>526</v>
      </c>
      <c r="BC132" s="26"/>
      <c r="BD132" s="26"/>
      <c r="BE132" s="26"/>
      <c r="BF132" s="26"/>
      <c r="BG132" s="26"/>
      <c r="BH132" s="26"/>
      <c r="BI132" s="26"/>
      <c r="BJ132" s="26"/>
      <c r="BK132" s="26"/>
      <c r="BL132" s="26" t="s">
        <v>527</v>
      </c>
      <c r="BM132" s="6">
        <v>45207</v>
      </c>
      <c r="BN132" s="26" t="s">
        <v>45</v>
      </c>
      <c r="BO132" s="26" t="s">
        <v>268</v>
      </c>
      <c r="BP132" s="26" t="s">
        <v>28</v>
      </c>
      <c r="BQ132">
        <v>123.63</v>
      </c>
      <c r="BR132">
        <v>237.48</v>
      </c>
      <c r="BS132">
        <v>206.93</v>
      </c>
      <c r="BT132">
        <v>299.92</v>
      </c>
      <c r="BU132">
        <v>9.81</v>
      </c>
      <c r="BV132">
        <v>38.76</v>
      </c>
      <c r="BW132">
        <v>7.67</v>
      </c>
      <c r="BX132" s="26">
        <v>0</v>
      </c>
      <c r="BY132" s="26">
        <v>0</v>
      </c>
      <c r="BZ132">
        <v>8.7899999999999991</v>
      </c>
      <c r="CA132">
        <v>68.58</v>
      </c>
      <c r="CB132">
        <v>2.79</v>
      </c>
    </row>
    <row r="133" spans="1:80" x14ac:dyDescent="0.25">
      <c r="A133" s="26">
        <v>894</v>
      </c>
      <c r="B133" s="26" t="s">
        <v>357</v>
      </c>
      <c r="C133" s="26" t="s">
        <v>358</v>
      </c>
      <c r="D133" s="26" t="s">
        <v>18</v>
      </c>
      <c r="E133" s="1">
        <v>8</v>
      </c>
      <c r="F133" s="5">
        <v>84.4</v>
      </c>
      <c r="G133" s="1">
        <v>675.2</v>
      </c>
      <c r="H133" s="1">
        <v>123.63</v>
      </c>
      <c r="I133" s="1">
        <v>989.04</v>
      </c>
      <c r="J133" s="1">
        <v>313.83999999999992</v>
      </c>
      <c r="K133" s="5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M133" s="26"/>
      <c r="AN133" s="26"/>
      <c r="AO133" s="26"/>
      <c r="AP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6">
        <v>45202</v>
      </c>
      <c r="BN133" s="26" t="s">
        <v>45</v>
      </c>
      <c r="BO133" s="26" t="s">
        <v>172</v>
      </c>
      <c r="BP133" s="26" t="s">
        <v>28</v>
      </c>
      <c r="BQ133">
        <v>123.63</v>
      </c>
      <c r="BR133">
        <v>237.48</v>
      </c>
      <c r="BS133">
        <v>206.93</v>
      </c>
      <c r="BT133">
        <v>299.92</v>
      </c>
      <c r="BU133">
        <v>9.81</v>
      </c>
      <c r="BV133">
        <v>38.76</v>
      </c>
      <c r="BW133">
        <v>7.67</v>
      </c>
      <c r="BX133" s="26">
        <v>0</v>
      </c>
      <c r="BY133" s="26">
        <v>0</v>
      </c>
      <c r="BZ133">
        <v>8.7899999999999991</v>
      </c>
      <c r="CA133">
        <v>68.58</v>
      </c>
      <c r="CB133">
        <v>2.79</v>
      </c>
    </row>
    <row r="134" spans="1:80" x14ac:dyDescent="0.25">
      <c r="A134" s="26">
        <v>894</v>
      </c>
      <c r="B134" s="26" t="s">
        <v>357</v>
      </c>
      <c r="C134" s="26" t="s">
        <v>358</v>
      </c>
      <c r="D134" s="26" t="s">
        <v>19</v>
      </c>
      <c r="E134" s="1">
        <v>2</v>
      </c>
      <c r="F134" s="5">
        <v>168.8</v>
      </c>
      <c r="G134" s="1">
        <v>337.6</v>
      </c>
      <c r="H134" s="1">
        <v>206.93</v>
      </c>
      <c r="I134" s="1">
        <v>413.86</v>
      </c>
      <c r="J134" s="1">
        <v>76.259999999999991</v>
      </c>
      <c r="K134" s="5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M134" s="26"/>
      <c r="AN134" s="26"/>
      <c r="AO134" s="26"/>
      <c r="AP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6">
        <v>45202</v>
      </c>
      <c r="BN134" s="26" t="s">
        <v>45</v>
      </c>
      <c r="BO134" s="26" t="s">
        <v>172</v>
      </c>
      <c r="BP134" s="26" t="s">
        <v>28</v>
      </c>
      <c r="BQ134">
        <v>123.63</v>
      </c>
      <c r="BR134">
        <v>237.48</v>
      </c>
      <c r="BS134">
        <v>206.93</v>
      </c>
      <c r="BT134">
        <v>299.92</v>
      </c>
      <c r="BU134">
        <v>9.81</v>
      </c>
      <c r="BV134">
        <v>38.76</v>
      </c>
      <c r="BW134">
        <v>7.67</v>
      </c>
      <c r="BX134" s="26">
        <v>0</v>
      </c>
      <c r="BY134" s="26">
        <v>0</v>
      </c>
      <c r="BZ134">
        <v>8.7899999999999991</v>
      </c>
      <c r="CA134">
        <v>68.58</v>
      </c>
      <c r="CB134">
        <v>2.79</v>
      </c>
    </row>
    <row r="135" spans="1:80" x14ac:dyDescent="0.25">
      <c r="A135" s="26">
        <v>894</v>
      </c>
      <c r="B135" s="26" t="s">
        <v>357</v>
      </c>
      <c r="C135" s="26" t="s">
        <v>358</v>
      </c>
      <c r="D135" s="26" t="s">
        <v>18</v>
      </c>
      <c r="E135" s="1">
        <v>8</v>
      </c>
      <c r="F135" s="5">
        <v>84.4</v>
      </c>
      <c r="G135" s="1">
        <v>675.2</v>
      </c>
      <c r="H135" s="1">
        <v>123.63</v>
      </c>
      <c r="I135" s="1">
        <v>989.04</v>
      </c>
      <c r="J135" s="1">
        <v>313.83999999999992</v>
      </c>
      <c r="K135" s="5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M135" s="26"/>
      <c r="AN135" s="26"/>
      <c r="AO135" s="26"/>
      <c r="AP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6">
        <v>45203</v>
      </c>
      <c r="BN135" s="26" t="s">
        <v>45</v>
      </c>
      <c r="BO135" s="26" t="s">
        <v>172</v>
      </c>
      <c r="BP135" s="26" t="s">
        <v>28</v>
      </c>
      <c r="BQ135">
        <v>123.63</v>
      </c>
      <c r="BR135">
        <v>237.48</v>
      </c>
      <c r="BS135">
        <v>206.93</v>
      </c>
      <c r="BT135">
        <v>299.92</v>
      </c>
      <c r="BU135">
        <v>9.81</v>
      </c>
      <c r="BV135">
        <v>38.76</v>
      </c>
      <c r="BW135">
        <v>7.67</v>
      </c>
      <c r="BX135" s="26">
        <v>0</v>
      </c>
      <c r="BY135" s="26">
        <v>0</v>
      </c>
      <c r="BZ135">
        <v>8.7899999999999991</v>
      </c>
      <c r="CA135">
        <v>68.58</v>
      </c>
      <c r="CB135">
        <v>2.79</v>
      </c>
    </row>
    <row r="136" spans="1:80" x14ac:dyDescent="0.25">
      <c r="A136" s="26">
        <v>894</v>
      </c>
      <c r="B136" s="26" t="s">
        <v>357</v>
      </c>
      <c r="C136" s="26" t="s">
        <v>358</v>
      </c>
      <c r="D136" s="26" t="s">
        <v>19</v>
      </c>
      <c r="E136" s="1">
        <v>3</v>
      </c>
      <c r="F136" s="5">
        <v>168.8</v>
      </c>
      <c r="G136" s="1">
        <v>506.4</v>
      </c>
      <c r="H136" s="1">
        <v>206.93</v>
      </c>
      <c r="I136" s="1">
        <v>620.79</v>
      </c>
      <c r="J136" s="1">
        <v>114.38999999999999</v>
      </c>
      <c r="K136" s="5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M136" s="26"/>
      <c r="AN136" s="26"/>
      <c r="AO136" s="26"/>
      <c r="AP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6">
        <v>45203</v>
      </c>
      <c r="BN136" s="26" t="s">
        <v>45</v>
      </c>
      <c r="BO136" s="26" t="s">
        <v>172</v>
      </c>
      <c r="BP136" s="26" t="s">
        <v>28</v>
      </c>
      <c r="BQ136">
        <v>123.63</v>
      </c>
      <c r="BR136">
        <v>237.48</v>
      </c>
      <c r="BS136">
        <v>206.93</v>
      </c>
      <c r="BT136">
        <v>299.92</v>
      </c>
      <c r="BU136">
        <v>9.81</v>
      </c>
      <c r="BV136">
        <v>38.76</v>
      </c>
      <c r="BW136">
        <v>7.67</v>
      </c>
      <c r="BX136" s="26">
        <v>0</v>
      </c>
      <c r="BY136" s="26">
        <v>0</v>
      </c>
      <c r="BZ136">
        <v>8.7899999999999991</v>
      </c>
      <c r="CA136">
        <v>68.58</v>
      </c>
      <c r="CB136">
        <v>2.79</v>
      </c>
    </row>
    <row r="137" spans="1:80" x14ac:dyDescent="0.25">
      <c r="A137" s="26">
        <v>894</v>
      </c>
      <c r="B137" s="26" t="s">
        <v>357</v>
      </c>
      <c r="C137" s="26" t="s">
        <v>358</v>
      </c>
      <c r="D137" s="26" t="s">
        <v>18</v>
      </c>
      <c r="E137" s="1">
        <v>8</v>
      </c>
      <c r="F137" s="5">
        <v>84.4</v>
      </c>
      <c r="G137" s="1">
        <v>675.2</v>
      </c>
      <c r="H137" s="1">
        <v>123.63</v>
      </c>
      <c r="I137" s="1">
        <v>989.04</v>
      </c>
      <c r="J137" s="1">
        <v>313.83999999999992</v>
      </c>
      <c r="K137" s="5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M137" s="26"/>
      <c r="AN137" s="26"/>
      <c r="AO137" s="26"/>
      <c r="AP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6">
        <v>45204</v>
      </c>
      <c r="BN137" s="26" t="s">
        <v>45</v>
      </c>
      <c r="BO137" s="26" t="s">
        <v>172</v>
      </c>
      <c r="BP137" s="26" t="s">
        <v>28</v>
      </c>
      <c r="BQ137">
        <v>123.63</v>
      </c>
      <c r="BR137">
        <v>237.48</v>
      </c>
      <c r="BS137">
        <v>206.93</v>
      </c>
      <c r="BT137">
        <v>299.92</v>
      </c>
      <c r="BU137">
        <v>9.81</v>
      </c>
      <c r="BV137">
        <v>38.76</v>
      </c>
      <c r="BW137">
        <v>7.67</v>
      </c>
      <c r="BX137" s="26">
        <v>0</v>
      </c>
      <c r="BY137" s="26">
        <v>0</v>
      </c>
      <c r="BZ137">
        <v>8.7899999999999991</v>
      </c>
      <c r="CA137">
        <v>68.58</v>
      </c>
      <c r="CB137">
        <v>2.79</v>
      </c>
    </row>
    <row r="138" spans="1:80" x14ac:dyDescent="0.25">
      <c r="A138" s="26">
        <v>894</v>
      </c>
      <c r="B138" s="26" t="s">
        <v>357</v>
      </c>
      <c r="C138" s="26" t="s">
        <v>358</v>
      </c>
      <c r="D138" s="26" t="s">
        <v>19</v>
      </c>
      <c r="E138" s="1">
        <v>4</v>
      </c>
      <c r="F138" s="5">
        <v>168.8</v>
      </c>
      <c r="G138" s="1">
        <v>675.2</v>
      </c>
      <c r="H138" s="1">
        <v>206.93</v>
      </c>
      <c r="I138" s="1">
        <v>827.72</v>
      </c>
      <c r="J138" s="1">
        <v>152.51999999999998</v>
      </c>
      <c r="K138" s="5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M138" s="26"/>
      <c r="AN138" s="26"/>
      <c r="AO138" s="26"/>
      <c r="AP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6">
        <v>45204</v>
      </c>
      <c r="BN138" s="26" t="s">
        <v>45</v>
      </c>
      <c r="BO138" s="26" t="s">
        <v>172</v>
      </c>
      <c r="BP138" s="26" t="s">
        <v>28</v>
      </c>
      <c r="BQ138">
        <v>123.63</v>
      </c>
      <c r="BR138">
        <v>237.48</v>
      </c>
      <c r="BS138">
        <v>206.93</v>
      </c>
      <c r="BT138">
        <v>299.92</v>
      </c>
      <c r="BU138">
        <v>9.81</v>
      </c>
      <c r="BV138">
        <v>38.76</v>
      </c>
      <c r="BW138">
        <v>7.67</v>
      </c>
      <c r="BX138" s="26">
        <v>0</v>
      </c>
      <c r="BY138" s="26">
        <v>0</v>
      </c>
      <c r="BZ138">
        <v>8.7899999999999991</v>
      </c>
      <c r="CA138">
        <v>68.58</v>
      </c>
      <c r="CB138">
        <v>2.79</v>
      </c>
    </row>
    <row r="139" spans="1:80" x14ac:dyDescent="0.25">
      <c r="A139" s="26">
        <v>894</v>
      </c>
      <c r="B139" s="26" t="s">
        <v>357</v>
      </c>
      <c r="C139" s="26" t="s">
        <v>358</v>
      </c>
      <c r="D139" s="26" t="s">
        <v>18</v>
      </c>
      <c r="E139" s="1">
        <v>8</v>
      </c>
      <c r="F139" s="5">
        <v>84.4</v>
      </c>
      <c r="G139" s="1">
        <v>675.2</v>
      </c>
      <c r="H139" s="1">
        <v>123.63</v>
      </c>
      <c r="I139" s="1">
        <v>989.04</v>
      </c>
      <c r="J139" s="1">
        <v>313.83999999999992</v>
      </c>
      <c r="K139" s="5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M139" s="26"/>
      <c r="AN139" s="26"/>
      <c r="AO139" s="26"/>
      <c r="AP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6">
        <v>45205</v>
      </c>
      <c r="BN139" s="26" t="s">
        <v>45</v>
      </c>
      <c r="BO139" s="26" t="s">
        <v>172</v>
      </c>
      <c r="BP139" s="26" t="s">
        <v>28</v>
      </c>
      <c r="BQ139">
        <v>123.63</v>
      </c>
      <c r="BR139">
        <v>237.48</v>
      </c>
      <c r="BS139">
        <v>206.93</v>
      </c>
      <c r="BT139">
        <v>299.92</v>
      </c>
      <c r="BU139">
        <v>9.81</v>
      </c>
      <c r="BV139">
        <v>38.76</v>
      </c>
      <c r="BW139">
        <v>7.67</v>
      </c>
      <c r="BX139" s="26">
        <v>0</v>
      </c>
      <c r="BY139" s="26">
        <v>0</v>
      </c>
      <c r="BZ139">
        <v>8.7899999999999991</v>
      </c>
      <c r="CA139">
        <v>68.58</v>
      </c>
      <c r="CB139">
        <v>2.79</v>
      </c>
    </row>
    <row r="140" spans="1:80" x14ac:dyDescent="0.25">
      <c r="A140" s="26">
        <v>894</v>
      </c>
      <c r="B140" s="26" t="s">
        <v>357</v>
      </c>
      <c r="C140" s="26" t="s">
        <v>358</v>
      </c>
      <c r="D140" s="26" t="s">
        <v>19</v>
      </c>
      <c r="E140" s="1">
        <v>4</v>
      </c>
      <c r="F140" s="5">
        <v>168.8</v>
      </c>
      <c r="G140" s="1">
        <v>675.2</v>
      </c>
      <c r="H140" s="1">
        <v>206.93</v>
      </c>
      <c r="I140" s="1">
        <v>827.72</v>
      </c>
      <c r="J140" s="1">
        <v>152.51999999999998</v>
      </c>
      <c r="K140" s="5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M140" s="26"/>
      <c r="AN140" s="26"/>
      <c r="AO140" s="26"/>
      <c r="AP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6">
        <v>45205</v>
      </c>
      <c r="BN140" s="26" t="s">
        <v>45</v>
      </c>
      <c r="BO140" s="26" t="s">
        <v>172</v>
      </c>
      <c r="BP140" s="26" t="s">
        <v>28</v>
      </c>
      <c r="BQ140">
        <v>123.63</v>
      </c>
      <c r="BR140">
        <v>237.48</v>
      </c>
      <c r="BS140">
        <v>206.93</v>
      </c>
      <c r="BT140">
        <v>299.92</v>
      </c>
      <c r="BU140">
        <v>9.81</v>
      </c>
      <c r="BV140">
        <v>38.76</v>
      </c>
      <c r="BW140">
        <v>7.67</v>
      </c>
      <c r="BX140" s="26">
        <v>0</v>
      </c>
      <c r="BY140" s="26">
        <v>0</v>
      </c>
      <c r="BZ140">
        <v>8.7899999999999991</v>
      </c>
      <c r="CA140">
        <v>68.58</v>
      </c>
      <c r="CB140">
        <v>2.79</v>
      </c>
    </row>
    <row r="141" spans="1:80" x14ac:dyDescent="0.25">
      <c r="A141" s="26">
        <v>894</v>
      </c>
      <c r="B141" s="26" t="s">
        <v>371</v>
      </c>
      <c r="C141" s="26" t="s">
        <v>358</v>
      </c>
      <c r="D141" s="26" t="s">
        <v>22</v>
      </c>
      <c r="E141" s="1">
        <v>45</v>
      </c>
      <c r="F141" s="5">
        <v>7.7</v>
      </c>
      <c r="G141" s="1">
        <v>346.5</v>
      </c>
      <c r="H141" s="1">
        <v>9.81</v>
      </c>
      <c r="I141" s="1">
        <v>441.45000000000005</v>
      </c>
      <c r="J141" s="1">
        <v>94.950000000000045</v>
      </c>
      <c r="K141" s="5" t="s">
        <v>135</v>
      </c>
      <c r="L141" s="26" t="s">
        <v>326</v>
      </c>
      <c r="M141" s="26" t="s">
        <v>453</v>
      </c>
      <c r="N141" s="26" t="s">
        <v>454</v>
      </c>
      <c r="O141" s="26" t="s">
        <v>60</v>
      </c>
      <c r="P141" s="26" t="s">
        <v>60</v>
      </c>
      <c r="Q141" s="26" t="s">
        <v>60</v>
      </c>
      <c r="R141" s="26" t="s">
        <v>60</v>
      </c>
      <c r="S141" s="26" t="s">
        <v>167</v>
      </c>
      <c r="T141" s="26" t="s">
        <v>445</v>
      </c>
      <c r="U141" s="26" t="s">
        <v>233</v>
      </c>
      <c r="V141" s="26" t="s">
        <v>328</v>
      </c>
      <c r="W141" s="26" t="s">
        <v>60</v>
      </c>
      <c r="X141" s="26" t="s">
        <v>60</v>
      </c>
      <c r="Y141" s="26" t="s">
        <v>55</v>
      </c>
      <c r="Z141" s="26" t="s">
        <v>56</v>
      </c>
      <c r="AA141" s="26" t="s">
        <v>60</v>
      </c>
      <c r="AB141" s="26" t="s">
        <v>60</v>
      </c>
      <c r="AC141" s="26" t="s">
        <v>60</v>
      </c>
      <c r="AD141" s="26" t="s">
        <v>60</v>
      </c>
      <c r="AE141" s="26" t="s">
        <v>60</v>
      </c>
      <c r="AF141" s="26" t="s">
        <v>60</v>
      </c>
      <c r="AG141" s="26" t="s">
        <v>453</v>
      </c>
      <c r="AH141" s="26" t="s">
        <v>455</v>
      </c>
      <c r="AI141" t="s">
        <v>133</v>
      </c>
      <c r="AJ141" t="s">
        <v>331</v>
      </c>
      <c r="AK141" t="s">
        <v>431</v>
      </c>
      <c r="AL141" t="s">
        <v>432</v>
      </c>
      <c r="AM141" s="26" t="s">
        <v>57</v>
      </c>
      <c r="AN141" s="26" t="s">
        <v>58</v>
      </c>
      <c r="AO141" s="26"/>
      <c r="AP141" s="26"/>
      <c r="AS141" s="26"/>
      <c r="AT141" s="26"/>
      <c r="AU141" s="26"/>
      <c r="AV141" s="26" t="s">
        <v>59</v>
      </c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6">
        <v>45207</v>
      </c>
      <c r="BN141" s="26" t="s">
        <v>45</v>
      </c>
      <c r="BO141" s="26" t="s">
        <v>172</v>
      </c>
      <c r="BP141" s="26" t="s">
        <v>28</v>
      </c>
      <c r="BQ141">
        <v>123.63</v>
      </c>
      <c r="BR141">
        <v>237.48</v>
      </c>
      <c r="BS141">
        <v>206.93</v>
      </c>
      <c r="BT141">
        <v>299.92</v>
      </c>
      <c r="BU141">
        <v>9.81</v>
      </c>
      <c r="BV141">
        <v>38.76</v>
      </c>
      <c r="BW141">
        <v>7.67</v>
      </c>
      <c r="BX141" s="26">
        <v>0</v>
      </c>
      <c r="BY141" s="26">
        <v>0</v>
      </c>
      <c r="BZ141">
        <v>8.7899999999999991</v>
      </c>
      <c r="CA141">
        <v>68.58</v>
      </c>
      <c r="CB141">
        <v>2.79</v>
      </c>
    </row>
    <row r="142" spans="1:80" x14ac:dyDescent="0.25">
      <c r="A142" s="26">
        <v>894</v>
      </c>
      <c r="B142" s="26" t="s">
        <v>371</v>
      </c>
      <c r="C142" s="26" t="s">
        <v>358</v>
      </c>
      <c r="D142" s="26" t="s">
        <v>13</v>
      </c>
      <c r="E142" s="1">
        <v>4</v>
      </c>
      <c r="F142" s="5">
        <v>36.090000000000003</v>
      </c>
      <c r="G142" s="1">
        <v>144.36000000000001</v>
      </c>
      <c r="H142" s="1">
        <v>38.76</v>
      </c>
      <c r="I142" s="1">
        <v>155.04</v>
      </c>
      <c r="J142" s="1">
        <v>10.679999999999978</v>
      </c>
      <c r="K142" s="5" t="s">
        <v>135</v>
      </c>
      <c r="L142" s="26" t="s">
        <v>326</v>
      </c>
      <c r="M142" s="26" t="s">
        <v>453</v>
      </c>
      <c r="N142" s="26" t="s">
        <v>454</v>
      </c>
      <c r="O142" s="26" t="s">
        <v>60</v>
      </c>
      <c r="P142" s="26" t="s">
        <v>60</v>
      </c>
      <c r="Q142" s="26" t="s">
        <v>60</v>
      </c>
      <c r="R142" s="26" t="s">
        <v>60</v>
      </c>
      <c r="S142" s="26" t="s">
        <v>167</v>
      </c>
      <c r="T142" s="26" t="s">
        <v>445</v>
      </c>
      <c r="U142" s="26" t="s">
        <v>233</v>
      </c>
      <c r="V142" s="26" t="s">
        <v>328</v>
      </c>
      <c r="W142" s="26" t="s">
        <v>60</v>
      </c>
      <c r="X142" s="26" t="s">
        <v>60</v>
      </c>
      <c r="Y142" s="26" t="s">
        <v>55</v>
      </c>
      <c r="Z142" s="26" t="s">
        <v>56</v>
      </c>
      <c r="AA142" s="26" t="s">
        <v>60</v>
      </c>
      <c r="AB142" s="26" t="s">
        <v>60</v>
      </c>
      <c r="AC142" s="26" t="s">
        <v>60</v>
      </c>
      <c r="AD142" s="26" t="s">
        <v>60</v>
      </c>
      <c r="AE142" s="26" t="s">
        <v>60</v>
      </c>
      <c r="AF142" s="26" t="s">
        <v>60</v>
      </c>
      <c r="AG142" s="26" t="s">
        <v>453</v>
      </c>
      <c r="AH142" s="26" t="s">
        <v>455</v>
      </c>
      <c r="AI142">
        <v>4</v>
      </c>
      <c r="AJ142">
        <v>144.36000000000001</v>
      </c>
      <c r="AK142" t="s">
        <v>431</v>
      </c>
      <c r="AL142" t="s">
        <v>432</v>
      </c>
      <c r="AM142" s="26" t="s">
        <v>57</v>
      </c>
      <c r="AN142" s="26" t="s">
        <v>58</v>
      </c>
      <c r="AO142" s="26" t="s">
        <v>60</v>
      </c>
      <c r="AP142" s="26" t="s">
        <v>60</v>
      </c>
      <c r="AQ142">
        <v>0</v>
      </c>
      <c r="AR142">
        <v>0</v>
      </c>
      <c r="AS142" s="26" t="s">
        <v>60</v>
      </c>
      <c r="AT142" s="26" t="s">
        <v>60</v>
      </c>
      <c r="AU142" s="26" t="s">
        <v>60</v>
      </c>
      <c r="AV142" s="26" t="s">
        <v>59</v>
      </c>
      <c r="AW142" s="26" t="s">
        <v>528</v>
      </c>
      <c r="AX142" s="26" t="s">
        <v>528</v>
      </c>
      <c r="AY142" s="26" t="s">
        <v>530</v>
      </c>
      <c r="AZ142" s="26" t="s">
        <v>531</v>
      </c>
      <c r="BA142" s="26" t="s">
        <v>529</v>
      </c>
      <c r="BB142" s="26" t="s">
        <v>532</v>
      </c>
      <c r="BC142" s="26"/>
      <c r="BD142" s="26"/>
      <c r="BE142" s="26"/>
      <c r="BF142" s="26"/>
      <c r="BG142" s="26"/>
      <c r="BH142" s="26"/>
      <c r="BI142" s="26"/>
      <c r="BJ142" s="26"/>
      <c r="BK142" s="26"/>
      <c r="BL142" s="26" t="s">
        <v>533</v>
      </c>
      <c r="BM142" s="6">
        <v>45207</v>
      </c>
      <c r="BN142" s="26" t="s">
        <v>45</v>
      </c>
      <c r="BO142" s="26" t="s">
        <v>172</v>
      </c>
      <c r="BP142" s="26" t="s">
        <v>28</v>
      </c>
      <c r="BQ142">
        <v>123.63</v>
      </c>
      <c r="BR142">
        <v>237.48</v>
      </c>
      <c r="BS142">
        <v>206.93</v>
      </c>
      <c r="BT142">
        <v>299.92</v>
      </c>
      <c r="BU142">
        <v>9.81</v>
      </c>
      <c r="BV142">
        <v>38.76</v>
      </c>
      <c r="BW142">
        <v>7.67</v>
      </c>
      <c r="BX142" s="26">
        <v>0</v>
      </c>
      <c r="BY142" s="26">
        <v>0</v>
      </c>
      <c r="BZ142">
        <v>8.7899999999999991</v>
      </c>
      <c r="CA142">
        <v>68.58</v>
      </c>
      <c r="CB142">
        <v>2.79</v>
      </c>
    </row>
    <row r="143" spans="1:80" x14ac:dyDescent="0.25">
      <c r="A143" s="26">
        <v>894</v>
      </c>
      <c r="B143" s="26" t="s">
        <v>371</v>
      </c>
      <c r="C143" s="26" t="s">
        <v>358</v>
      </c>
      <c r="D143" s="26" t="s">
        <v>25</v>
      </c>
      <c r="E143" s="1">
        <v>5</v>
      </c>
      <c r="F143" s="5">
        <v>55</v>
      </c>
      <c r="G143" s="1">
        <v>275</v>
      </c>
      <c r="H143" s="1">
        <v>68.58</v>
      </c>
      <c r="I143" s="1">
        <v>342.9</v>
      </c>
      <c r="J143" s="1">
        <v>67.899999999999977</v>
      </c>
      <c r="K143" s="5" t="s">
        <v>135</v>
      </c>
      <c r="L143" s="26" t="s">
        <v>326</v>
      </c>
      <c r="M143" s="26" t="s">
        <v>453</v>
      </c>
      <c r="N143" s="26" t="s">
        <v>454</v>
      </c>
      <c r="O143" s="26" t="s">
        <v>60</v>
      </c>
      <c r="P143" s="26" t="s">
        <v>60</v>
      </c>
      <c r="Q143" s="26" t="s">
        <v>60</v>
      </c>
      <c r="R143" s="26" t="s">
        <v>60</v>
      </c>
      <c r="S143" s="26" t="s">
        <v>167</v>
      </c>
      <c r="T143" s="26" t="s">
        <v>445</v>
      </c>
      <c r="U143" s="26" t="s">
        <v>233</v>
      </c>
      <c r="V143" s="26" t="s">
        <v>328</v>
      </c>
      <c r="W143" s="26" t="s">
        <v>60</v>
      </c>
      <c r="X143" s="26" t="s">
        <v>60</v>
      </c>
      <c r="Y143" s="26" t="s">
        <v>55</v>
      </c>
      <c r="Z143" s="26" t="s">
        <v>56</v>
      </c>
      <c r="AA143" s="26" t="s">
        <v>60</v>
      </c>
      <c r="AB143" s="26" t="s">
        <v>60</v>
      </c>
      <c r="AC143" s="26" t="s">
        <v>60</v>
      </c>
      <c r="AD143" s="26" t="s">
        <v>60</v>
      </c>
      <c r="AE143" s="26" t="s">
        <v>60</v>
      </c>
      <c r="AF143" s="26" t="s">
        <v>60</v>
      </c>
      <c r="AG143" s="26" t="s">
        <v>453</v>
      </c>
      <c r="AH143" s="26" t="s">
        <v>455</v>
      </c>
      <c r="AI143" t="s">
        <v>133</v>
      </c>
      <c r="AJ143" t="s">
        <v>331</v>
      </c>
      <c r="AK143">
        <v>5</v>
      </c>
      <c r="AL143">
        <v>275</v>
      </c>
      <c r="AM143" s="26" t="s">
        <v>57</v>
      </c>
      <c r="AN143" s="26" t="s">
        <v>58</v>
      </c>
      <c r="AO143" s="26">
        <v>0</v>
      </c>
      <c r="AP143" s="26">
        <v>0</v>
      </c>
      <c r="AQ143" t="s">
        <v>60</v>
      </c>
      <c r="AR143" t="s">
        <v>60</v>
      </c>
      <c r="AS143" s="26" t="s">
        <v>60</v>
      </c>
      <c r="AT143" s="26" t="s">
        <v>60</v>
      </c>
      <c r="AU143" s="26" t="s">
        <v>60</v>
      </c>
      <c r="AV143" s="26" t="s">
        <v>59</v>
      </c>
      <c r="AW143" s="26" t="s">
        <v>528</v>
      </c>
      <c r="AX143" s="26" t="s">
        <v>528</v>
      </c>
      <c r="AY143" s="26" t="s">
        <v>530</v>
      </c>
      <c r="AZ143" s="26" t="s">
        <v>531</v>
      </c>
      <c r="BA143" s="26" t="s">
        <v>529</v>
      </c>
      <c r="BB143" s="26" t="s">
        <v>532</v>
      </c>
      <c r="BC143" s="26" t="s">
        <v>121</v>
      </c>
      <c r="BD143" s="26" t="s">
        <v>568</v>
      </c>
      <c r="BE143" s="26" t="s">
        <v>60</v>
      </c>
      <c r="BF143" s="26" t="s">
        <v>60</v>
      </c>
      <c r="BG143" s="26" t="s">
        <v>60</v>
      </c>
      <c r="BH143" s="26" t="s">
        <v>60</v>
      </c>
      <c r="BI143" s="26" t="s">
        <v>60</v>
      </c>
      <c r="BJ143" s="26" t="s">
        <v>60</v>
      </c>
      <c r="BK143" s="26" t="s">
        <v>60</v>
      </c>
      <c r="BL143" s="26" t="s">
        <v>533</v>
      </c>
      <c r="BM143" s="6">
        <v>45207</v>
      </c>
      <c r="BN143" s="26" t="s">
        <v>45</v>
      </c>
      <c r="BO143" s="26" t="s">
        <v>172</v>
      </c>
      <c r="BP143" s="26" t="s">
        <v>28</v>
      </c>
      <c r="BQ143">
        <v>123.63</v>
      </c>
      <c r="BR143">
        <v>237.48</v>
      </c>
      <c r="BS143">
        <v>206.93</v>
      </c>
      <c r="BT143">
        <v>299.92</v>
      </c>
      <c r="BU143">
        <v>9.81</v>
      </c>
      <c r="BV143">
        <v>38.76</v>
      </c>
      <c r="BW143">
        <v>7.67</v>
      </c>
      <c r="BX143" s="26">
        <v>0</v>
      </c>
      <c r="BY143" s="26">
        <v>0</v>
      </c>
      <c r="BZ143">
        <v>8.7899999999999991</v>
      </c>
      <c r="CA143">
        <v>68.58</v>
      </c>
      <c r="CB143">
        <v>2.79</v>
      </c>
    </row>
    <row r="144" spans="1:80" x14ac:dyDescent="0.25">
      <c r="A144" s="26">
        <v>894</v>
      </c>
      <c r="B144" s="26" t="s">
        <v>371</v>
      </c>
      <c r="C144" s="26" t="s">
        <v>358</v>
      </c>
      <c r="D144" s="26" t="s">
        <v>14</v>
      </c>
      <c r="E144" s="1">
        <v>13</v>
      </c>
      <c r="F144" s="5">
        <v>2.48</v>
      </c>
      <c r="G144" s="1">
        <v>32.24</v>
      </c>
      <c r="H144" s="1">
        <v>2.79</v>
      </c>
      <c r="I144" s="1">
        <v>36.270000000000003</v>
      </c>
      <c r="J144" s="1">
        <v>4.0300000000000011</v>
      </c>
      <c r="K144" s="5" t="s">
        <v>135</v>
      </c>
      <c r="L144" s="26" t="s">
        <v>326</v>
      </c>
      <c r="M144" s="26" t="s">
        <v>453</v>
      </c>
      <c r="N144" s="26" t="s">
        <v>454</v>
      </c>
      <c r="O144" s="26" t="s">
        <v>60</v>
      </c>
      <c r="P144" s="26" t="s">
        <v>60</v>
      </c>
      <c r="Q144" s="26" t="s">
        <v>60</v>
      </c>
      <c r="R144" s="26" t="s">
        <v>60</v>
      </c>
      <c r="S144" s="26" t="s">
        <v>167</v>
      </c>
      <c r="T144" s="26" t="s">
        <v>445</v>
      </c>
      <c r="U144" s="26" t="s">
        <v>233</v>
      </c>
      <c r="V144" s="26" t="s">
        <v>328</v>
      </c>
      <c r="W144" s="26" t="s">
        <v>60</v>
      </c>
      <c r="X144" s="26" t="s">
        <v>60</v>
      </c>
      <c r="Y144" s="26" t="s">
        <v>55</v>
      </c>
      <c r="Z144" s="26" t="s">
        <v>56</v>
      </c>
      <c r="AA144" s="26" t="s">
        <v>60</v>
      </c>
      <c r="AB144" s="26" t="s">
        <v>60</v>
      </c>
      <c r="AC144" s="26" t="s">
        <v>60</v>
      </c>
      <c r="AD144" s="26" t="s">
        <v>60</v>
      </c>
      <c r="AE144" s="26" t="s">
        <v>60</v>
      </c>
      <c r="AF144" s="26" t="s">
        <v>60</v>
      </c>
      <c r="AG144" s="26"/>
      <c r="AH144" s="26"/>
      <c r="AI144" t="s">
        <v>133</v>
      </c>
      <c r="AJ144" t="s">
        <v>331</v>
      </c>
      <c r="AK144" t="s">
        <v>431</v>
      </c>
      <c r="AL144" t="s">
        <v>432</v>
      </c>
      <c r="AM144" s="26" t="s">
        <v>57</v>
      </c>
      <c r="AN144" s="26" t="s">
        <v>58</v>
      </c>
      <c r="AO144" s="26" t="s">
        <v>60</v>
      </c>
      <c r="AP144" s="26" t="s">
        <v>60</v>
      </c>
      <c r="AQ144" t="s">
        <v>60</v>
      </c>
      <c r="AR144" t="s">
        <v>60</v>
      </c>
      <c r="AS144" s="26"/>
      <c r="AT144" s="26"/>
      <c r="AU144" s="26"/>
      <c r="AV144" s="26" t="s">
        <v>59</v>
      </c>
      <c r="AW144" s="26"/>
      <c r="AX144" s="26"/>
      <c r="AY144" s="26"/>
      <c r="AZ144" s="26"/>
      <c r="BA144" s="26"/>
      <c r="BB144" s="26" t="s">
        <v>532</v>
      </c>
      <c r="BC144" s="26"/>
      <c r="BD144" s="26"/>
      <c r="BE144" s="26"/>
      <c r="BF144" s="26"/>
      <c r="BG144" s="26"/>
      <c r="BH144" s="26"/>
      <c r="BI144" s="26"/>
      <c r="BJ144" s="26"/>
      <c r="BK144" s="26"/>
      <c r="BL144" s="26" t="s">
        <v>533</v>
      </c>
      <c r="BM144" s="6">
        <v>45207</v>
      </c>
      <c r="BN144" s="26" t="s">
        <v>45</v>
      </c>
      <c r="BO144" s="26" t="s">
        <v>172</v>
      </c>
      <c r="BP144" s="26" t="s">
        <v>28</v>
      </c>
      <c r="BQ144">
        <v>123.63</v>
      </c>
      <c r="BR144">
        <v>237.48</v>
      </c>
      <c r="BS144">
        <v>206.93</v>
      </c>
      <c r="BT144">
        <v>299.92</v>
      </c>
      <c r="BU144">
        <v>9.81</v>
      </c>
      <c r="BV144">
        <v>38.76</v>
      </c>
      <c r="BW144">
        <v>7.67</v>
      </c>
      <c r="BX144" s="26">
        <v>0</v>
      </c>
      <c r="BY144" s="26">
        <v>0</v>
      </c>
      <c r="BZ144">
        <v>8.7899999999999991</v>
      </c>
      <c r="CA144">
        <v>68.58</v>
      </c>
      <c r="CB144">
        <v>2.79</v>
      </c>
    </row>
    <row r="145" spans="1:80" x14ac:dyDescent="0.25">
      <c r="A145" s="26">
        <v>255</v>
      </c>
      <c r="B145" s="26" t="s">
        <v>3</v>
      </c>
      <c r="C145" s="26" t="s">
        <v>189</v>
      </c>
      <c r="D145" s="26" t="s">
        <v>19</v>
      </c>
      <c r="E145" s="1">
        <v>4</v>
      </c>
      <c r="F145" s="5">
        <v>144.018</v>
      </c>
      <c r="G145" s="1">
        <v>576.07000000000005</v>
      </c>
      <c r="H145" s="1">
        <v>187.9</v>
      </c>
      <c r="I145" s="1">
        <v>751.6</v>
      </c>
      <c r="J145" s="1">
        <v>175.52999999999997</v>
      </c>
      <c r="K145" s="5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M145" s="26"/>
      <c r="AN145" s="26"/>
      <c r="AO145" s="26"/>
      <c r="AP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6">
        <v>45202</v>
      </c>
      <c r="BN145" s="26" t="s">
        <v>138</v>
      </c>
      <c r="BO145" s="26" t="s">
        <v>139</v>
      </c>
      <c r="BP145" s="26" t="s">
        <v>75</v>
      </c>
      <c r="BQ145">
        <v>126.68</v>
      </c>
      <c r="BR145">
        <v>219.58</v>
      </c>
      <c r="BS145">
        <v>187.9</v>
      </c>
      <c r="BT145">
        <v>295.27999999999997</v>
      </c>
      <c r="BU145">
        <v>14.07</v>
      </c>
      <c r="BV145">
        <v>35.43</v>
      </c>
      <c r="BW145">
        <v>8.34</v>
      </c>
      <c r="BX145" s="26">
        <v>0</v>
      </c>
      <c r="BY145" s="26">
        <v>0</v>
      </c>
      <c r="BZ145">
        <v>9.5500000000000007</v>
      </c>
      <c r="CA145">
        <v>73.33</v>
      </c>
      <c r="CB145">
        <v>0</v>
      </c>
    </row>
    <row r="146" spans="1:80" x14ac:dyDescent="0.25">
      <c r="A146" s="26">
        <v>255</v>
      </c>
      <c r="B146" s="26" t="s">
        <v>3</v>
      </c>
      <c r="C146" s="26" t="s">
        <v>189</v>
      </c>
      <c r="D146" s="26" t="s">
        <v>21</v>
      </c>
      <c r="E146" s="1">
        <v>8</v>
      </c>
      <c r="F146" s="5">
        <v>144.018</v>
      </c>
      <c r="G146" s="1">
        <v>1152.1400000000001</v>
      </c>
      <c r="H146" s="1">
        <v>219.58</v>
      </c>
      <c r="I146" s="1">
        <v>1756.64</v>
      </c>
      <c r="J146" s="1">
        <v>604.5</v>
      </c>
      <c r="K146" s="5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M146" s="26"/>
      <c r="AN146" s="26"/>
      <c r="AO146" s="26"/>
      <c r="AP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6">
        <v>45202</v>
      </c>
      <c r="BN146" s="26" t="s">
        <v>138</v>
      </c>
      <c r="BO146" s="26" t="s">
        <v>139</v>
      </c>
      <c r="BP146" s="26" t="s">
        <v>75</v>
      </c>
      <c r="BQ146">
        <v>126.68</v>
      </c>
      <c r="BR146">
        <v>219.58</v>
      </c>
      <c r="BS146">
        <v>187.9</v>
      </c>
      <c r="BT146">
        <v>295.27999999999997</v>
      </c>
      <c r="BU146">
        <v>14.07</v>
      </c>
      <c r="BV146">
        <v>35.43</v>
      </c>
      <c r="BW146">
        <v>8.34</v>
      </c>
      <c r="BX146" s="26">
        <v>0</v>
      </c>
      <c r="BY146" s="26">
        <v>0</v>
      </c>
      <c r="BZ146">
        <v>9.5500000000000007</v>
      </c>
      <c r="CA146">
        <v>73.33</v>
      </c>
      <c r="CB146">
        <v>0</v>
      </c>
    </row>
    <row r="147" spans="1:80" x14ac:dyDescent="0.25">
      <c r="A147" s="26">
        <v>255</v>
      </c>
      <c r="B147" s="26" t="s">
        <v>3</v>
      </c>
      <c r="C147" s="26" t="s">
        <v>189</v>
      </c>
      <c r="D147" s="26" t="s">
        <v>19</v>
      </c>
      <c r="E147" s="1">
        <v>4</v>
      </c>
      <c r="F147" s="5">
        <v>144.018</v>
      </c>
      <c r="G147" s="1">
        <v>576.07000000000005</v>
      </c>
      <c r="H147" s="1">
        <v>187.9</v>
      </c>
      <c r="I147" s="1">
        <v>751.6</v>
      </c>
      <c r="J147" s="1">
        <v>175.52999999999997</v>
      </c>
      <c r="K147" s="5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M147" s="26"/>
      <c r="AN147" s="26"/>
      <c r="AO147" s="26"/>
      <c r="AP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6">
        <v>45203</v>
      </c>
      <c r="BN147" s="26" t="s">
        <v>138</v>
      </c>
      <c r="BO147" s="26" t="s">
        <v>139</v>
      </c>
      <c r="BP147" s="26" t="s">
        <v>75</v>
      </c>
      <c r="BQ147">
        <v>126.68</v>
      </c>
      <c r="BR147">
        <v>219.58</v>
      </c>
      <c r="BS147">
        <v>187.9</v>
      </c>
      <c r="BT147">
        <v>295.27999999999997</v>
      </c>
      <c r="BU147">
        <v>14.07</v>
      </c>
      <c r="BV147">
        <v>35.43</v>
      </c>
      <c r="BW147">
        <v>8.34</v>
      </c>
      <c r="BX147" s="26">
        <v>0</v>
      </c>
      <c r="BY147" s="26">
        <v>0</v>
      </c>
      <c r="BZ147">
        <v>9.5500000000000007</v>
      </c>
      <c r="CA147">
        <v>73.33</v>
      </c>
      <c r="CB147">
        <v>0</v>
      </c>
    </row>
    <row r="148" spans="1:80" x14ac:dyDescent="0.25">
      <c r="A148" s="26">
        <v>255</v>
      </c>
      <c r="B148" s="26" t="s">
        <v>3</v>
      </c>
      <c r="C148" s="26" t="s">
        <v>189</v>
      </c>
      <c r="D148" s="26" t="s">
        <v>21</v>
      </c>
      <c r="E148" s="1">
        <v>8</v>
      </c>
      <c r="F148" s="5">
        <v>144.018</v>
      </c>
      <c r="G148" s="1">
        <v>1152.1400000000001</v>
      </c>
      <c r="H148" s="1">
        <v>219.58</v>
      </c>
      <c r="I148" s="1">
        <v>1756.64</v>
      </c>
      <c r="J148" s="1">
        <v>604.5</v>
      </c>
      <c r="K148" s="5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M148" s="26"/>
      <c r="AN148" s="26"/>
      <c r="AO148" s="26"/>
      <c r="AP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6">
        <v>45203</v>
      </c>
      <c r="BN148" s="26" t="s">
        <v>138</v>
      </c>
      <c r="BO148" s="26" t="s">
        <v>139</v>
      </c>
      <c r="BP148" s="26" t="s">
        <v>75</v>
      </c>
      <c r="BQ148">
        <v>126.68</v>
      </c>
      <c r="BR148">
        <v>219.58</v>
      </c>
      <c r="BS148">
        <v>187.9</v>
      </c>
      <c r="BT148">
        <v>295.27999999999997</v>
      </c>
      <c r="BU148">
        <v>14.07</v>
      </c>
      <c r="BV148">
        <v>35.43</v>
      </c>
      <c r="BW148">
        <v>8.34</v>
      </c>
      <c r="BX148" s="26">
        <v>0</v>
      </c>
      <c r="BY148" s="26">
        <v>0</v>
      </c>
      <c r="BZ148">
        <v>9.5500000000000007</v>
      </c>
      <c r="CA148">
        <v>73.33</v>
      </c>
      <c r="CB148">
        <v>0</v>
      </c>
    </row>
    <row r="149" spans="1:80" x14ac:dyDescent="0.25">
      <c r="A149" s="26">
        <v>255</v>
      </c>
      <c r="B149" s="26" t="s">
        <v>3</v>
      </c>
      <c r="C149" s="26" t="s">
        <v>189</v>
      </c>
      <c r="D149" s="26" t="s">
        <v>19</v>
      </c>
      <c r="E149" s="1">
        <v>4</v>
      </c>
      <c r="F149" s="5">
        <v>144.018</v>
      </c>
      <c r="G149" s="1">
        <v>576.07000000000005</v>
      </c>
      <c r="H149" s="1">
        <v>187.9</v>
      </c>
      <c r="I149" s="1">
        <v>751.6</v>
      </c>
      <c r="J149" s="1">
        <v>175.52999999999997</v>
      </c>
      <c r="K149" s="5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M149" s="26"/>
      <c r="AN149" s="26"/>
      <c r="AO149" s="26"/>
      <c r="AP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6">
        <v>45204</v>
      </c>
      <c r="BN149" s="26" t="s">
        <v>138</v>
      </c>
      <c r="BO149" s="26" t="s">
        <v>139</v>
      </c>
      <c r="BP149" s="26" t="s">
        <v>75</v>
      </c>
      <c r="BQ149">
        <v>126.68</v>
      </c>
      <c r="BR149">
        <v>219.58</v>
      </c>
      <c r="BS149">
        <v>187.9</v>
      </c>
      <c r="BT149">
        <v>295.27999999999997</v>
      </c>
      <c r="BU149">
        <v>14.07</v>
      </c>
      <c r="BV149">
        <v>35.43</v>
      </c>
      <c r="BW149">
        <v>8.34</v>
      </c>
      <c r="BX149" s="26">
        <v>0</v>
      </c>
      <c r="BY149" s="26">
        <v>0</v>
      </c>
      <c r="BZ149">
        <v>9.5500000000000007</v>
      </c>
      <c r="CA149">
        <v>73.33</v>
      </c>
      <c r="CB149">
        <v>0</v>
      </c>
    </row>
    <row r="150" spans="1:80" x14ac:dyDescent="0.25">
      <c r="A150" s="26">
        <v>255</v>
      </c>
      <c r="B150" s="26" t="s">
        <v>3</v>
      </c>
      <c r="C150" s="26" t="s">
        <v>189</v>
      </c>
      <c r="D150" s="26" t="s">
        <v>21</v>
      </c>
      <c r="E150" s="1">
        <v>8</v>
      </c>
      <c r="F150" s="5">
        <v>144.018</v>
      </c>
      <c r="G150" s="1">
        <v>1152.1400000000001</v>
      </c>
      <c r="H150" s="1">
        <v>219.58</v>
      </c>
      <c r="I150" s="1">
        <v>1756.64</v>
      </c>
      <c r="J150" s="1">
        <v>604.5</v>
      </c>
      <c r="K150" s="5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M150" s="26"/>
      <c r="AN150" s="26"/>
      <c r="AO150" s="26"/>
      <c r="AP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6">
        <v>45204</v>
      </c>
      <c r="BN150" s="26" t="s">
        <v>138</v>
      </c>
      <c r="BO150" s="26" t="s">
        <v>139</v>
      </c>
      <c r="BP150" s="26" t="s">
        <v>75</v>
      </c>
      <c r="BQ150">
        <v>126.68</v>
      </c>
      <c r="BR150">
        <v>219.58</v>
      </c>
      <c r="BS150">
        <v>187.9</v>
      </c>
      <c r="BT150">
        <v>295.27999999999997</v>
      </c>
      <c r="BU150">
        <v>14.07</v>
      </c>
      <c r="BV150">
        <v>35.43</v>
      </c>
      <c r="BW150">
        <v>8.34</v>
      </c>
      <c r="BX150" s="26">
        <v>0</v>
      </c>
      <c r="BY150" s="26">
        <v>0</v>
      </c>
      <c r="BZ150">
        <v>9.5500000000000007</v>
      </c>
      <c r="CA150">
        <v>73.33</v>
      </c>
      <c r="CB150">
        <v>0</v>
      </c>
    </row>
    <row r="151" spans="1:80" x14ac:dyDescent="0.25">
      <c r="A151" s="26">
        <v>255</v>
      </c>
      <c r="B151" s="26" t="s">
        <v>3</v>
      </c>
      <c r="C151" s="26" t="s">
        <v>189</v>
      </c>
      <c r="D151" s="26" t="s">
        <v>19</v>
      </c>
      <c r="E151" s="1">
        <v>4</v>
      </c>
      <c r="F151" s="5">
        <v>144.018</v>
      </c>
      <c r="G151" s="1">
        <v>576.07000000000005</v>
      </c>
      <c r="H151" s="1">
        <v>187.9</v>
      </c>
      <c r="I151" s="1">
        <v>751.6</v>
      </c>
      <c r="J151" s="1">
        <v>175.52999999999997</v>
      </c>
      <c r="K151" s="5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M151" s="26"/>
      <c r="AN151" s="26"/>
      <c r="AO151" s="26"/>
      <c r="AP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6">
        <v>45205</v>
      </c>
      <c r="BN151" s="26" t="s">
        <v>138</v>
      </c>
      <c r="BO151" s="26" t="s">
        <v>139</v>
      </c>
      <c r="BP151" s="26" t="s">
        <v>75</v>
      </c>
      <c r="BQ151">
        <v>126.68</v>
      </c>
      <c r="BR151">
        <v>219.58</v>
      </c>
      <c r="BS151">
        <v>187.9</v>
      </c>
      <c r="BT151">
        <v>295.27999999999997</v>
      </c>
      <c r="BU151">
        <v>14.07</v>
      </c>
      <c r="BV151">
        <v>35.43</v>
      </c>
      <c r="BW151">
        <v>8.34</v>
      </c>
      <c r="BX151" s="26">
        <v>0</v>
      </c>
      <c r="BY151" s="26">
        <v>0</v>
      </c>
      <c r="BZ151">
        <v>9.5500000000000007</v>
      </c>
      <c r="CA151">
        <v>73.33</v>
      </c>
      <c r="CB151">
        <v>0</v>
      </c>
    </row>
    <row r="152" spans="1:80" x14ac:dyDescent="0.25">
      <c r="A152" s="26">
        <v>255</v>
      </c>
      <c r="B152" s="26" t="s">
        <v>3</v>
      </c>
      <c r="C152" s="26" t="s">
        <v>189</v>
      </c>
      <c r="D152" s="26" t="s">
        <v>21</v>
      </c>
      <c r="E152" s="1">
        <v>8</v>
      </c>
      <c r="F152" s="5">
        <v>144.018</v>
      </c>
      <c r="G152" s="1">
        <v>1152.1400000000001</v>
      </c>
      <c r="H152" s="1">
        <v>219.58</v>
      </c>
      <c r="I152" s="1">
        <v>1756.64</v>
      </c>
      <c r="J152" s="1">
        <v>604.5</v>
      </c>
      <c r="K152" s="5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M152" s="26"/>
      <c r="AN152" s="26"/>
      <c r="AO152" s="26"/>
      <c r="AP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6">
        <v>45205</v>
      </c>
      <c r="BN152" s="26" t="s">
        <v>138</v>
      </c>
      <c r="BO152" s="26" t="s">
        <v>139</v>
      </c>
      <c r="BP152" s="26" t="s">
        <v>75</v>
      </c>
      <c r="BQ152">
        <v>126.68</v>
      </c>
      <c r="BR152">
        <v>219.58</v>
      </c>
      <c r="BS152">
        <v>187.9</v>
      </c>
      <c r="BT152">
        <v>295.27999999999997</v>
      </c>
      <c r="BU152">
        <v>14.07</v>
      </c>
      <c r="BV152">
        <v>35.43</v>
      </c>
      <c r="BW152">
        <v>8.34</v>
      </c>
      <c r="BX152" s="26">
        <v>0</v>
      </c>
      <c r="BY152" s="26">
        <v>0</v>
      </c>
      <c r="BZ152">
        <v>9.5500000000000007</v>
      </c>
      <c r="CA152">
        <v>73.33</v>
      </c>
      <c r="CB152">
        <v>0</v>
      </c>
    </row>
    <row r="153" spans="1:80" x14ac:dyDescent="0.25">
      <c r="A153" s="26">
        <v>255</v>
      </c>
      <c r="B153" s="26" t="s">
        <v>3</v>
      </c>
      <c r="C153" s="26" t="s">
        <v>189</v>
      </c>
      <c r="D153" s="26" t="s">
        <v>19</v>
      </c>
      <c r="E153" s="1">
        <v>4</v>
      </c>
      <c r="F153" s="5">
        <v>144.018</v>
      </c>
      <c r="G153" s="1">
        <v>576.07000000000005</v>
      </c>
      <c r="H153" s="1">
        <v>187.9</v>
      </c>
      <c r="I153" s="1">
        <v>751.6</v>
      </c>
      <c r="J153" s="1">
        <v>175.52999999999997</v>
      </c>
      <c r="K153" s="5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M153" s="26"/>
      <c r="AN153" s="26"/>
      <c r="AO153" s="26"/>
      <c r="AP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6">
        <v>45206</v>
      </c>
      <c r="BN153" s="26" t="s">
        <v>138</v>
      </c>
      <c r="BO153" s="26" t="s">
        <v>139</v>
      </c>
      <c r="BP153" s="26" t="s">
        <v>75</v>
      </c>
      <c r="BQ153">
        <v>126.68</v>
      </c>
      <c r="BR153">
        <v>219.58</v>
      </c>
      <c r="BS153">
        <v>187.9</v>
      </c>
      <c r="BT153">
        <v>295.27999999999997</v>
      </c>
      <c r="BU153">
        <v>14.07</v>
      </c>
      <c r="BV153">
        <v>35.43</v>
      </c>
      <c r="BW153">
        <v>8.34</v>
      </c>
      <c r="BX153" s="26">
        <v>0</v>
      </c>
      <c r="BY153" s="26">
        <v>0</v>
      </c>
      <c r="BZ153">
        <v>9.5500000000000007</v>
      </c>
      <c r="CA153">
        <v>73.33</v>
      </c>
      <c r="CB153">
        <v>0</v>
      </c>
    </row>
    <row r="154" spans="1:80" x14ac:dyDescent="0.25">
      <c r="A154" s="26">
        <v>255</v>
      </c>
      <c r="B154" s="26" t="s">
        <v>3</v>
      </c>
      <c r="C154" s="26" t="s">
        <v>189</v>
      </c>
      <c r="D154" s="26" t="s">
        <v>21</v>
      </c>
      <c r="E154" s="1">
        <v>8</v>
      </c>
      <c r="F154" s="5">
        <v>144.018</v>
      </c>
      <c r="G154" s="1">
        <v>1152.1400000000001</v>
      </c>
      <c r="H154" s="1">
        <v>219.58</v>
      </c>
      <c r="I154" s="1">
        <v>1756.64</v>
      </c>
      <c r="J154" s="1">
        <v>604.5</v>
      </c>
      <c r="K154" s="5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M154" s="26"/>
      <c r="AN154" s="26"/>
      <c r="AO154" s="26"/>
      <c r="AP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6">
        <v>45206</v>
      </c>
      <c r="BN154" s="26" t="s">
        <v>138</v>
      </c>
      <c r="BO154" s="26" t="s">
        <v>139</v>
      </c>
      <c r="BP154" s="26" t="s">
        <v>75</v>
      </c>
      <c r="BQ154">
        <v>126.68</v>
      </c>
      <c r="BR154">
        <v>219.58</v>
      </c>
      <c r="BS154">
        <v>187.9</v>
      </c>
      <c r="BT154">
        <v>295.27999999999997</v>
      </c>
      <c r="BU154">
        <v>14.07</v>
      </c>
      <c r="BV154">
        <v>35.43</v>
      </c>
      <c r="BW154">
        <v>8.34</v>
      </c>
      <c r="BX154" s="26">
        <v>0</v>
      </c>
      <c r="BY154" s="26">
        <v>0</v>
      </c>
      <c r="BZ154">
        <v>9.5500000000000007</v>
      </c>
      <c r="CA154">
        <v>73.33</v>
      </c>
      <c r="CB154">
        <v>0</v>
      </c>
    </row>
    <row r="155" spans="1:80" x14ac:dyDescent="0.25">
      <c r="A155" s="26">
        <v>255</v>
      </c>
      <c r="B155" s="26" t="s">
        <v>3</v>
      </c>
      <c r="C155" s="26" t="s">
        <v>189</v>
      </c>
      <c r="D155" s="26" t="s">
        <v>19</v>
      </c>
      <c r="E155" s="1">
        <v>12</v>
      </c>
      <c r="F155" s="5">
        <v>144.018</v>
      </c>
      <c r="G155" s="1">
        <v>1728.22</v>
      </c>
      <c r="H155" s="1">
        <v>187.9</v>
      </c>
      <c r="I155" s="1">
        <v>2254.8000000000002</v>
      </c>
      <c r="J155" s="1">
        <v>526.58000000000015</v>
      </c>
      <c r="K155" s="5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M155" s="26"/>
      <c r="AN155" s="26"/>
      <c r="AO155" s="26"/>
      <c r="AP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6">
        <v>45207</v>
      </c>
      <c r="BN155" s="26" t="s">
        <v>138</v>
      </c>
      <c r="BO155" s="26" t="s">
        <v>139</v>
      </c>
      <c r="BP155" s="26" t="s">
        <v>75</v>
      </c>
      <c r="BQ155">
        <v>126.68</v>
      </c>
      <c r="BR155">
        <v>219.58</v>
      </c>
      <c r="BS155">
        <v>187.9</v>
      </c>
      <c r="BT155">
        <v>295.27999999999997</v>
      </c>
      <c r="BU155">
        <v>14.07</v>
      </c>
      <c r="BV155">
        <v>35.43</v>
      </c>
      <c r="BW155">
        <v>8.34</v>
      </c>
      <c r="BX155" s="26">
        <v>0</v>
      </c>
      <c r="BY155" s="26">
        <v>0</v>
      </c>
      <c r="BZ155">
        <v>9.5500000000000007</v>
      </c>
      <c r="CA155">
        <v>73.33</v>
      </c>
      <c r="CB155">
        <v>0</v>
      </c>
    </row>
    <row r="156" spans="1:80" x14ac:dyDescent="0.25">
      <c r="A156" s="26">
        <v>255</v>
      </c>
      <c r="B156" s="26" t="s">
        <v>64</v>
      </c>
      <c r="C156" s="26" t="s">
        <v>189</v>
      </c>
      <c r="D156" s="26" t="s">
        <v>22</v>
      </c>
      <c r="E156" s="1">
        <v>72</v>
      </c>
      <c r="F156" s="5">
        <v>10.149999999999999</v>
      </c>
      <c r="G156" s="1">
        <v>730.8</v>
      </c>
      <c r="H156" s="1">
        <v>14.07</v>
      </c>
      <c r="I156" s="1">
        <v>1013.04</v>
      </c>
      <c r="J156" s="1">
        <v>282.24</v>
      </c>
      <c r="K156" s="5" t="s">
        <v>60</v>
      </c>
      <c r="L156" s="26" t="s">
        <v>60</v>
      </c>
      <c r="M156" s="26" t="s">
        <v>60</v>
      </c>
      <c r="N156" s="26" t="s">
        <v>60</v>
      </c>
      <c r="O156" s="26" t="s">
        <v>60</v>
      </c>
      <c r="P156" s="26" t="s">
        <v>60</v>
      </c>
      <c r="Q156" s="26" t="s">
        <v>60</v>
      </c>
      <c r="R156" s="26" t="s">
        <v>60</v>
      </c>
      <c r="S156" s="26" t="s">
        <v>90</v>
      </c>
      <c r="T156" s="26" t="s">
        <v>441</v>
      </c>
      <c r="U156" s="26" t="s">
        <v>424</v>
      </c>
      <c r="V156" s="26" t="s">
        <v>425</v>
      </c>
      <c r="W156" s="26" t="s">
        <v>60</v>
      </c>
      <c r="X156" s="26" t="s">
        <v>60</v>
      </c>
      <c r="Y156" s="26" t="s">
        <v>55</v>
      </c>
      <c r="Z156" s="26" t="s">
        <v>56</v>
      </c>
      <c r="AA156" s="26" t="s">
        <v>135</v>
      </c>
      <c r="AB156" s="26" t="s">
        <v>294</v>
      </c>
      <c r="AC156" s="26" t="s">
        <v>234</v>
      </c>
      <c r="AD156" s="26" t="s">
        <v>426</v>
      </c>
      <c r="AE156" s="26" t="s">
        <v>60</v>
      </c>
      <c r="AF156" s="26" t="s">
        <v>60</v>
      </c>
      <c r="AG156" s="26" t="s">
        <v>60</v>
      </c>
      <c r="AH156" s="26" t="s">
        <v>60</v>
      </c>
      <c r="AI156" t="s">
        <v>60</v>
      </c>
      <c r="AJ156" t="s">
        <v>60</v>
      </c>
      <c r="AK156" t="s">
        <v>60</v>
      </c>
      <c r="AL156" t="s">
        <v>60</v>
      </c>
      <c r="AM156" s="26" t="s">
        <v>57</v>
      </c>
      <c r="AN156" s="26" t="s">
        <v>58</v>
      </c>
      <c r="AO156" s="26"/>
      <c r="AP156" s="26"/>
      <c r="AS156" s="26"/>
      <c r="AT156" s="26"/>
      <c r="AU156" s="26"/>
      <c r="AV156" s="26" t="s">
        <v>59</v>
      </c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6">
        <v>45207</v>
      </c>
      <c r="BN156" s="26" t="s">
        <v>138</v>
      </c>
      <c r="BO156" s="26" t="s">
        <v>139</v>
      </c>
      <c r="BP156" s="26" t="s">
        <v>75</v>
      </c>
      <c r="BQ156">
        <v>126.68</v>
      </c>
      <c r="BR156">
        <v>219.58</v>
      </c>
      <c r="BS156">
        <v>187.9</v>
      </c>
      <c r="BT156">
        <v>295.27999999999997</v>
      </c>
      <c r="BU156">
        <v>14.07</v>
      </c>
      <c r="BV156">
        <v>35.43</v>
      </c>
      <c r="BW156">
        <v>8.34</v>
      </c>
      <c r="BX156" s="26">
        <v>0</v>
      </c>
      <c r="BY156" s="26">
        <v>0</v>
      </c>
      <c r="BZ156">
        <v>9.5500000000000007</v>
      </c>
      <c r="CA156">
        <v>73.33</v>
      </c>
      <c r="CB156">
        <v>0</v>
      </c>
    </row>
    <row r="157" spans="1:80" x14ac:dyDescent="0.25">
      <c r="A157" s="26">
        <v>255</v>
      </c>
      <c r="B157" s="26" t="s">
        <v>64</v>
      </c>
      <c r="C157" s="26" t="s">
        <v>189</v>
      </c>
      <c r="D157" s="26" t="s">
        <v>13</v>
      </c>
      <c r="E157" s="1">
        <v>6</v>
      </c>
      <c r="F157" s="5">
        <v>30.72</v>
      </c>
      <c r="G157" s="1">
        <v>184.32</v>
      </c>
      <c r="H157" s="1">
        <v>35.43</v>
      </c>
      <c r="I157" s="1">
        <v>212.57999999999998</v>
      </c>
      <c r="J157" s="1">
        <v>28.259999999999991</v>
      </c>
      <c r="K157" s="5" t="s">
        <v>60</v>
      </c>
      <c r="L157" s="26" t="s">
        <v>60</v>
      </c>
      <c r="M157" s="26" t="s">
        <v>60</v>
      </c>
      <c r="N157" s="26" t="s">
        <v>60</v>
      </c>
      <c r="O157" s="26" t="s">
        <v>60</v>
      </c>
      <c r="P157" s="26" t="s">
        <v>60</v>
      </c>
      <c r="Q157" s="26" t="s">
        <v>60</v>
      </c>
      <c r="R157" s="26" t="s">
        <v>60</v>
      </c>
      <c r="S157" s="26" t="s">
        <v>90</v>
      </c>
      <c r="T157" s="26" t="s">
        <v>441</v>
      </c>
      <c r="U157" s="26" t="s">
        <v>424</v>
      </c>
      <c r="V157" s="26" t="s">
        <v>425</v>
      </c>
      <c r="W157" s="26" t="s">
        <v>60</v>
      </c>
      <c r="X157" s="26" t="s">
        <v>60</v>
      </c>
      <c r="Y157" s="26" t="s">
        <v>55</v>
      </c>
      <c r="Z157" s="26" t="s">
        <v>56</v>
      </c>
      <c r="AA157" s="26" t="s">
        <v>135</v>
      </c>
      <c r="AB157" s="26" t="s">
        <v>294</v>
      </c>
      <c r="AC157" s="26" t="s">
        <v>234</v>
      </c>
      <c r="AD157" s="26" t="s">
        <v>426</v>
      </c>
      <c r="AE157" s="26" t="s">
        <v>60</v>
      </c>
      <c r="AF157" s="26" t="s">
        <v>60</v>
      </c>
      <c r="AG157" s="26" t="s">
        <v>60</v>
      </c>
      <c r="AH157" s="26" t="s">
        <v>60</v>
      </c>
      <c r="AI157">
        <v>0</v>
      </c>
      <c r="AJ157">
        <v>0</v>
      </c>
      <c r="AK157" t="s">
        <v>60</v>
      </c>
      <c r="AL157" t="s">
        <v>60</v>
      </c>
      <c r="AM157" s="26" t="s">
        <v>57</v>
      </c>
      <c r="AN157" s="26" t="s">
        <v>58</v>
      </c>
      <c r="AO157" s="26" t="s">
        <v>464</v>
      </c>
      <c r="AP157" s="26" t="s">
        <v>534</v>
      </c>
      <c r="AQ157">
        <v>6</v>
      </c>
      <c r="AR157">
        <v>184.32</v>
      </c>
      <c r="AS157" s="26" t="s">
        <v>121</v>
      </c>
      <c r="AT157" s="26" t="s">
        <v>60</v>
      </c>
      <c r="AU157" s="26" t="s">
        <v>60</v>
      </c>
      <c r="AV157" s="26" t="s">
        <v>59</v>
      </c>
      <c r="AW157" s="26" t="s">
        <v>535</v>
      </c>
      <c r="AX157" s="26" t="s">
        <v>536</v>
      </c>
      <c r="AY157" s="26" t="s">
        <v>538</v>
      </c>
      <c r="AZ157" s="26" t="s">
        <v>539</v>
      </c>
      <c r="BA157" s="26" t="s">
        <v>537</v>
      </c>
      <c r="BB157" s="26" t="s">
        <v>205</v>
      </c>
      <c r="BC157" s="26"/>
      <c r="BD157" s="26"/>
      <c r="BE157" s="26"/>
      <c r="BF157" s="26"/>
      <c r="BG157" s="26"/>
      <c r="BH157" s="26"/>
      <c r="BI157" s="26"/>
      <c r="BJ157" s="26"/>
      <c r="BK157" s="26"/>
      <c r="BL157" s="26" t="s">
        <v>351</v>
      </c>
      <c r="BM157" s="6">
        <v>45207</v>
      </c>
      <c r="BN157" s="26" t="s">
        <v>138</v>
      </c>
      <c r="BO157" s="26" t="s">
        <v>139</v>
      </c>
      <c r="BP157" s="26" t="s">
        <v>75</v>
      </c>
      <c r="BQ157">
        <v>126.68</v>
      </c>
      <c r="BR157">
        <v>219.58</v>
      </c>
      <c r="BS157">
        <v>187.9</v>
      </c>
      <c r="BT157">
        <v>295.27999999999997</v>
      </c>
      <c r="BU157">
        <v>14.07</v>
      </c>
      <c r="BV157">
        <v>35.43</v>
      </c>
      <c r="BW157">
        <v>8.34</v>
      </c>
      <c r="BX157" s="26">
        <v>0</v>
      </c>
      <c r="BY157" s="26">
        <v>0</v>
      </c>
      <c r="BZ157">
        <v>9.5500000000000007</v>
      </c>
      <c r="CA157">
        <v>73.33</v>
      </c>
      <c r="CB157">
        <v>0</v>
      </c>
    </row>
    <row r="158" spans="1:80" x14ac:dyDescent="0.25">
      <c r="A158" s="26">
        <v>255</v>
      </c>
      <c r="B158" s="26" t="s">
        <v>64</v>
      </c>
      <c r="C158" s="26" t="s">
        <v>189</v>
      </c>
      <c r="D158" s="26" t="s">
        <v>25</v>
      </c>
      <c r="E158" s="1">
        <v>7</v>
      </c>
      <c r="F158" s="5">
        <v>52.9</v>
      </c>
      <c r="G158" s="1">
        <v>370.3</v>
      </c>
      <c r="H158" s="1">
        <v>73.33</v>
      </c>
      <c r="I158" s="1">
        <v>513.30999999999995</v>
      </c>
      <c r="J158" s="1">
        <v>143.00999999999993</v>
      </c>
      <c r="K158" s="5" t="s">
        <v>60</v>
      </c>
      <c r="L158" s="26" t="s">
        <v>60</v>
      </c>
      <c r="M158" s="26" t="s">
        <v>60</v>
      </c>
      <c r="N158" s="26" t="s">
        <v>60</v>
      </c>
      <c r="O158" s="26" t="s">
        <v>60</v>
      </c>
      <c r="P158" s="26" t="s">
        <v>60</v>
      </c>
      <c r="Q158" s="26" t="s">
        <v>60</v>
      </c>
      <c r="R158" s="26" t="s">
        <v>60</v>
      </c>
      <c r="S158" s="26" t="s">
        <v>90</v>
      </c>
      <c r="T158" s="26" t="s">
        <v>441</v>
      </c>
      <c r="U158" s="26" t="s">
        <v>424</v>
      </c>
      <c r="V158" s="26" t="s">
        <v>425</v>
      </c>
      <c r="W158" s="26" t="s">
        <v>60</v>
      </c>
      <c r="X158" s="26" t="s">
        <v>60</v>
      </c>
      <c r="Y158" s="26" t="s">
        <v>55</v>
      </c>
      <c r="Z158" s="26" t="s">
        <v>56</v>
      </c>
      <c r="AA158" s="26" t="s">
        <v>135</v>
      </c>
      <c r="AB158" s="26" t="s">
        <v>294</v>
      </c>
      <c r="AC158" s="26" t="s">
        <v>234</v>
      </c>
      <c r="AD158" s="26" t="s">
        <v>426</v>
      </c>
      <c r="AE158" s="26" t="s">
        <v>60</v>
      </c>
      <c r="AF158" s="26" t="s">
        <v>60</v>
      </c>
      <c r="AG158" s="26" t="s">
        <v>60</v>
      </c>
      <c r="AH158" s="26" t="s">
        <v>60</v>
      </c>
      <c r="AI158" t="s">
        <v>60</v>
      </c>
      <c r="AJ158" t="s">
        <v>60</v>
      </c>
      <c r="AK158">
        <v>0</v>
      </c>
      <c r="AL158">
        <v>0</v>
      </c>
      <c r="AM158" s="26" t="s">
        <v>57</v>
      </c>
      <c r="AN158" s="26" t="s">
        <v>58</v>
      </c>
      <c r="AO158" s="26">
        <v>7</v>
      </c>
      <c r="AP158" s="26">
        <v>370.3</v>
      </c>
      <c r="AQ158" t="s">
        <v>167</v>
      </c>
      <c r="AR158" t="s">
        <v>303</v>
      </c>
      <c r="AS158" s="26" t="s">
        <v>121</v>
      </c>
      <c r="AT158" s="26" t="s">
        <v>60</v>
      </c>
      <c r="AU158" s="26" t="s">
        <v>60</v>
      </c>
      <c r="AV158" s="26" t="s">
        <v>59</v>
      </c>
      <c r="AW158" s="26" t="s">
        <v>535</v>
      </c>
      <c r="AX158" s="26" t="s">
        <v>536</v>
      </c>
      <c r="AY158" s="26" t="s">
        <v>538</v>
      </c>
      <c r="AZ158" s="26" t="s">
        <v>539</v>
      </c>
      <c r="BA158" s="26" t="s">
        <v>537</v>
      </c>
      <c r="BB158" s="26" t="s">
        <v>205</v>
      </c>
      <c r="BC158" s="26" t="s">
        <v>60</v>
      </c>
      <c r="BD158" s="26" t="s">
        <v>60</v>
      </c>
      <c r="BE158" s="26" t="s">
        <v>304</v>
      </c>
      <c r="BF158" s="26" t="s">
        <v>239</v>
      </c>
      <c r="BG158" s="26" t="s">
        <v>559</v>
      </c>
      <c r="BH158" s="26" t="s">
        <v>60</v>
      </c>
      <c r="BI158" s="26" t="s">
        <v>60</v>
      </c>
      <c r="BJ158" s="26" t="s">
        <v>60</v>
      </c>
      <c r="BK158" s="26" t="s">
        <v>60</v>
      </c>
      <c r="BL158" s="26" t="s">
        <v>351</v>
      </c>
      <c r="BM158" s="6">
        <v>45207</v>
      </c>
      <c r="BN158" s="26" t="s">
        <v>138</v>
      </c>
      <c r="BO158" s="26" t="s">
        <v>139</v>
      </c>
      <c r="BP158" s="26" t="s">
        <v>75</v>
      </c>
      <c r="BQ158">
        <v>126.68</v>
      </c>
      <c r="BR158">
        <v>219.58</v>
      </c>
      <c r="BS158">
        <v>187.9</v>
      </c>
      <c r="BT158">
        <v>295.27999999999997</v>
      </c>
      <c r="BU158">
        <v>14.07</v>
      </c>
      <c r="BV158">
        <v>35.43</v>
      </c>
      <c r="BW158">
        <v>8.34</v>
      </c>
      <c r="BX158" s="26">
        <v>0</v>
      </c>
      <c r="BY158" s="26">
        <v>0</v>
      </c>
      <c r="BZ158">
        <v>9.5500000000000007</v>
      </c>
      <c r="CA158">
        <v>73.33</v>
      </c>
      <c r="CB158">
        <v>0</v>
      </c>
    </row>
    <row r="159" spans="1:80" x14ac:dyDescent="0.25">
      <c r="A159" s="26">
        <v>246</v>
      </c>
      <c r="B159" s="26" t="s">
        <v>281</v>
      </c>
      <c r="C159" s="26" t="s">
        <v>282</v>
      </c>
      <c r="D159" s="26" t="s">
        <v>18</v>
      </c>
      <c r="E159" s="1">
        <v>8</v>
      </c>
      <c r="F159" s="5">
        <v>80.010000000000005</v>
      </c>
      <c r="G159" s="1">
        <v>640.08000000000004</v>
      </c>
      <c r="H159" s="1">
        <v>126.68</v>
      </c>
      <c r="I159" s="1">
        <v>1013.44</v>
      </c>
      <c r="J159" s="1">
        <v>373.36</v>
      </c>
      <c r="K159" s="5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M159" s="26"/>
      <c r="AN159" s="26"/>
      <c r="AO159" s="26"/>
      <c r="AP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6">
        <v>45201</v>
      </c>
      <c r="BN159" s="26" t="s">
        <v>221</v>
      </c>
      <c r="BO159" s="26" t="s">
        <v>221</v>
      </c>
      <c r="BP159" s="26" t="s">
        <v>215</v>
      </c>
      <c r="BQ159">
        <v>126.68</v>
      </c>
      <c r="BR159">
        <v>219.58</v>
      </c>
      <c r="BS159">
        <v>187.9</v>
      </c>
      <c r="BT159">
        <v>295.27999999999997</v>
      </c>
      <c r="BU159">
        <v>6.31</v>
      </c>
      <c r="BV159">
        <v>35.43</v>
      </c>
      <c r="BW159">
        <v>8.34</v>
      </c>
      <c r="BX159" s="26">
        <v>0</v>
      </c>
      <c r="BY159" s="26">
        <v>74.849999999999994</v>
      </c>
      <c r="BZ159">
        <v>9.5500000000000007</v>
      </c>
      <c r="CA159">
        <v>73.33</v>
      </c>
      <c r="CB159">
        <v>0</v>
      </c>
    </row>
    <row r="160" spans="1:80" x14ac:dyDescent="0.25">
      <c r="A160" s="26">
        <v>246</v>
      </c>
      <c r="B160" s="26" t="s">
        <v>281</v>
      </c>
      <c r="C160" s="26" t="s">
        <v>282</v>
      </c>
      <c r="D160" s="26" t="s">
        <v>19</v>
      </c>
      <c r="E160" s="1">
        <v>4</v>
      </c>
      <c r="F160" s="5">
        <v>144.018</v>
      </c>
      <c r="G160" s="1">
        <v>576.07000000000005</v>
      </c>
      <c r="H160" s="1">
        <v>187.9</v>
      </c>
      <c r="I160" s="1">
        <v>751.6</v>
      </c>
      <c r="J160" s="1">
        <v>175.52999999999997</v>
      </c>
      <c r="K160" s="5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M160" s="26"/>
      <c r="AN160" s="26"/>
      <c r="AO160" s="26"/>
      <c r="AP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6">
        <v>45201</v>
      </c>
      <c r="BN160" s="26" t="s">
        <v>221</v>
      </c>
      <c r="BO160" s="26" t="s">
        <v>221</v>
      </c>
      <c r="BP160" s="26" t="s">
        <v>215</v>
      </c>
      <c r="BQ160">
        <v>126.68</v>
      </c>
      <c r="BR160">
        <v>219.58</v>
      </c>
      <c r="BS160">
        <v>187.9</v>
      </c>
      <c r="BT160">
        <v>295.27999999999997</v>
      </c>
      <c r="BU160">
        <v>6.31</v>
      </c>
      <c r="BV160">
        <v>35.43</v>
      </c>
      <c r="BW160">
        <v>8.34</v>
      </c>
      <c r="BX160" s="26">
        <v>0</v>
      </c>
      <c r="BY160" s="26">
        <v>74.849999999999994</v>
      </c>
      <c r="BZ160">
        <v>9.5500000000000007</v>
      </c>
      <c r="CA160">
        <v>73.33</v>
      </c>
      <c r="CB160">
        <v>0</v>
      </c>
    </row>
    <row r="161" spans="1:80" x14ac:dyDescent="0.25">
      <c r="A161" s="26">
        <v>246</v>
      </c>
      <c r="B161" s="26" t="s">
        <v>281</v>
      </c>
      <c r="C161" s="26" t="s">
        <v>282</v>
      </c>
      <c r="D161" s="26" t="s">
        <v>18</v>
      </c>
      <c r="E161" s="1">
        <v>8</v>
      </c>
      <c r="F161" s="5">
        <v>80.010000000000005</v>
      </c>
      <c r="G161" s="1">
        <v>640.08000000000004</v>
      </c>
      <c r="H161" s="1">
        <v>126.68</v>
      </c>
      <c r="I161" s="1">
        <v>1013.44</v>
      </c>
      <c r="J161" s="1">
        <v>373.36</v>
      </c>
      <c r="K161" s="5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M161" s="26"/>
      <c r="AN161" s="26"/>
      <c r="AO161" s="26"/>
      <c r="AP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6">
        <v>45202</v>
      </c>
      <c r="BN161" s="26" t="s">
        <v>221</v>
      </c>
      <c r="BO161" s="26" t="s">
        <v>221</v>
      </c>
      <c r="BP161" s="26" t="s">
        <v>215</v>
      </c>
      <c r="BQ161">
        <v>126.68</v>
      </c>
      <c r="BR161">
        <v>219.58</v>
      </c>
      <c r="BS161">
        <v>187.9</v>
      </c>
      <c r="BT161">
        <v>295.27999999999997</v>
      </c>
      <c r="BU161">
        <v>6.31</v>
      </c>
      <c r="BV161">
        <v>35.43</v>
      </c>
      <c r="BW161">
        <v>8.34</v>
      </c>
      <c r="BX161" s="26">
        <v>0</v>
      </c>
      <c r="BY161" s="26">
        <v>74.849999999999994</v>
      </c>
      <c r="BZ161">
        <v>9.5500000000000007</v>
      </c>
      <c r="CA161">
        <v>73.33</v>
      </c>
      <c r="CB161">
        <v>0</v>
      </c>
    </row>
    <row r="162" spans="1:80" x14ac:dyDescent="0.25">
      <c r="A162" s="26">
        <v>246</v>
      </c>
      <c r="B162" s="26" t="s">
        <v>281</v>
      </c>
      <c r="C162" s="26" t="s">
        <v>282</v>
      </c>
      <c r="D162" s="26" t="s">
        <v>19</v>
      </c>
      <c r="E162" s="1">
        <v>4</v>
      </c>
      <c r="F162" s="5">
        <v>144.018</v>
      </c>
      <c r="G162" s="1">
        <v>576.07000000000005</v>
      </c>
      <c r="H162" s="1">
        <v>187.9</v>
      </c>
      <c r="I162" s="1">
        <v>751.6</v>
      </c>
      <c r="J162" s="1">
        <v>175.52999999999997</v>
      </c>
      <c r="K162" s="5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M162" s="26"/>
      <c r="AN162" s="26"/>
      <c r="AO162" s="26"/>
      <c r="AP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6">
        <v>45202</v>
      </c>
      <c r="BN162" s="26" t="s">
        <v>221</v>
      </c>
      <c r="BO162" s="26" t="s">
        <v>221</v>
      </c>
      <c r="BP162" s="26" t="s">
        <v>215</v>
      </c>
      <c r="BQ162">
        <v>126.68</v>
      </c>
      <c r="BR162">
        <v>219.58</v>
      </c>
      <c r="BS162">
        <v>187.9</v>
      </c>
      <c r="BT162">
        <v>295.27999999999997</v>
      </c>
      <c r="BU162">
        <v>6.31</v>
      </c>
      <c r="BV162">
        <v>35.43</v>
      </c>
      <c r="BW162">
        <v>8.34</v>
      </c>
      <c r="BX162" s="26">
        <v>0</v>
      </c>
      <c r="BY162" s="26">
        <v>74.849999999999994</v>
      </c>
      <c r="BZ162">
        <v>9.5500000000000007</v>
      </c>
      <c r="CA162">
        <v>73.33</v>
      </c>
      <c r="CB162">
        <v>0</v>
      </c>
    </row>
    <row r="163" spans="1:80" x14ac:dyDescent="0.25">
      <c r="A163" s="26">
        <v>246</v>
      </c>
      <c r="B163" s="26" t="s">
        <v>281</v>
      </c>
      <c r="C163" s="26" t="s">
        <v>282</v>
      </c>
      <c r="D163" s="26" t="s">
        <v>18</v>
      </c>
      <c r="E163" s="1">
        <v>8</v>
      </c>
      <c r="F163" s="5">
        <v>80.010000000000005</v>
      </c>
      <c r="G163" s="1">
        <v>640.08000000000004</v>
      </c>
      <c r="H163" s="1">
        <v>126.68</v>
      </c>
      <c r="I163" s="1">
        <v>1013.44</v>
      </c>
      <c r="J163" s="1">
        <v>373.36</v>
      </c>
      <c r="K163" s="5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M163" s="26"/>
      <c r="AN163" s="26"/>
      <c r="AO163" s="26"/>
      <c r="AP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6">
        <v>45203</v>
      </c>
      <c r="BN163" s="26" t="s">
        <v>221</v>
      </c>
      <c r="BO163" s="26" t="s">
        <v>221</v>
      </c>
      <c r="BP163" s="26" t="s">
        <v>215</v>
      </c>
      <c r="BQ163">
        <v>126.68</v>
      </c>
      <c r="BR163">
        <v>219.58</v>
      </c>
      <c r="BS163">
        <v>187.9</v>
      </c>
      <c r="BT163">
        <v>295.27999999999997</v>
      </c>
      <c r="BU163">
        <v>6.31</v>
      </c>
      <c r="BV163">
        <v>35.43</v>
      </c>
      <c r="BW163">
        <v>8.34</v>
      </c>
      <c r="BX163" s="26">
        <v>0</v>
      </c>
      <c r="BY163" s="26">
        <v>74.849999999999994</v>
      </c>
      <c r="BZ163">
        <v>9.5500000000000007</v>
      </c>
      <c r="CA163">
        <v>73.33</v>
      </c>
      <c r="CB163">
        <v>0</v>
      </c>
    </row>
    <row r="164" spans="1:80" x14ac:dyDescent="0.25">
      <c r="A164" s="26">
        <v>246</v>
      </c>
      <c r="B164" s="26" t="s">
        <v>281</v>
      </c>
      <c r="C164" s="26" t="s">
        <v>282</v>
      </c>
      <c r="D164" s="26" t="s">
        <v>19</v>
      </c>
      <c r="E164" s="1">
        <v>4</v>
      </c>
      <c r="F164" s="5">
        <v>144.018</v>
      </c>
      <c r="G164" s="1">
        <v>576.07000000000005</v>
      </c>
      <c r="H164" s="1">
        <v>187.9</v>
      </c>
      <c r="I164" s="1">
        <v>751.6</v>
      </c>
      <c r="J164" s="1">
        <v>175.52999999999997</v>
      </c>
      <c r="K164" s="5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M164" s="26"/>
      <c r="AN164" s="26"/>
      <c r="AO164" s="26"/>
      <c r="AP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6">
        <v>45203</v>
      </c>
      <c r="BN164" s="26" t="s">
        <v>221</v>
      </c>
      <c r="BO164" s="26" t="s">
        <v>221</v>
      </c>
      <c r="BP164" s="26" t="s">
        <v>215</v>
      </c>
      <c r="BQ164">
        <v>126.68</v>
      </c>
      <c r="BR164">
        <v>219.58</v>
      </c>
      <c r="BS164">
        <v>187.9</v>
      </c>
      <c r="BT164">
        <v>295.27999999999997</v>
      </c>
      <c r="BU164">
        <v>6.31</v>
      </c>
      <c r="BV164">
        <v>35.43</v>
      </c>
      <c r="BW164">
        <v>8.34</v>
      </c>
      <c r="BX164" s="26">
        <v>0</v>
      </c>
      <c r="BY164" s="26">
        <v>74.849999999999994</v>
      </c>
      <c r="BZ164">
        <v>9.5500000000000007</v>
      </c>
      <c r="CA164">
        <v>73.33</v>
      </c>
      <c r="CB164">
        <v>0</v>
      </c>
    </row>
    <row r="165" spans="1:80" x14ac:dyDescent="0.25">
      <c r="A165" s="26">
        <v>246</v>
      </c>
      <c r="B165" s="26" t="s">
        <v>281</v>
      </c>
      <c r="C165" s="26" t="s">
        <v>282</v>
      </c>
      <c r="D165" s="26" t="s">
        <v>593</v>
      </c>
      <c r="E165" s="1">
        <v>11</v>
      </c>
      <c r="F165" s="5">
        <v>80.010000000000005</v>
      </c>
      <c r="G165" s="1">
        <v>880.11</v>
      </c>
      <c r="H165" s="1">
        <v>126.68</v>
      </c>
      <c r="I165" s="1">
        <v>1393.48</v>
      </c>
      <c r="J165" s="1">
        <v>513.37</v>
      </c>
      <c r="K165" s="5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M165" s="26"/>
      <c r="AN165" s="26"/>
      <c r="AO165" s="26"/>
      <c r="AP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6">
        <v>45203</v>
      </c>
      <c r="BN165" s="26" t="s">
        <v>221</v>
      </c>
      <c r="BO165" s="26" t="s">
        <v>221</v>
      </c>
      <c r="BP165" s="26" t="s">
        <v>215</v>
      </c>
      <c r="BQ165">
        <v>126.68</v>
      </c>
      <c r="BR165">
        <v>219.58</v>
      </c>
      <c r="BS165">
        <v>187.9</v>
      </c>
      <c r="BT165">
        <v>295.27999999999997</v>
      </c>
      <c r="BU165">
        <v>6.31</v>
      </c>
      <c r="BV165">
        <v>35.43</v>
      </c>
      <c r="BW165">
        <v>8.34</v>
      </c>
      <c r="BX165" s="26">
        <v>0</v>
      </c>
      <c r="BY165" s="26">
        <v>74.849999999999994</v>
      </c>
      <c r="BZ165">
        <v>9.5500000000000007</v>
      </c>
      <c r="CA165">
        <v>73.33</v>
      </c>
      <c r="CB165">
        <v>0</v>
      </c>
    </row>
    <row r="166" spans="1:80" x14ac:dyDescent="0.25">
      <c r="A166" s="26">
        <v>246</v>
      </c>
      <c r="B166" s="26" t="s">
        <v>281</v>
      </c>
      <c r="C166" s="26" t="s">
        <v>282</v>
      </c>
      <c r="D166" s="26" t="s">
        <v>18</v>
      </c>
      <c r="E166" s="1">
        <v>8</v>
      </c>
      <c r="F166" s="5">
        <v>80.010000000000005</v>
      </c>
      <c r="G166" s="1">
        <v>640.08000000000004</v>
      </c>
      <c r="H166" s="1">
        <v>126.68</v>
      </c>
      <c r="I166" s="1">
        <v>1013.44</v>
      </c>
      <c r="J166" s="1">
        <v>373.36</v>
      </c>
      <c r="K166" s="5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M166" s="26"/>
      <c r="AN166" s="26"/>
      <c r="AO166" s="26"/>
      <c r="AP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6">
        <v>45204</v>
      </c>
      <c r="BN166" s="26" t="s">
        <v>221</v>
      </c>
      <c r="BO166" s="26" t="s">
        <v>221</v>
      </c>
      <c r="BP166" s="26" t="s">
        <v>215</v>
      </c>
      <c r="BQ166">
        <v>126.68</v>
      </c>
      <c r="BR166">
        <v>219.58</v>
      </c>
      <c r="BS166">
        <v>187.9</v>
      </c>
      <c r="BT166">
        <v>295.27999999999997</v>
      </c>
      <c r="BU166">
        <v>6.31</v>
      </c>
      <c r="BV166">
        <v>35.43</v>
      </c>
      <c r="BW166">
        <v>8.34</v>
      </c>
      <c r="BX166" s="26">
        <v>0</v>
      </c>
      <c r="BY166" s="26">
        <v>74.849999999999994</v>
      </c>
      <c r="BZ166">
        <v>9.5500000000000007</v>
      </c>
      <c r="CA166">
        <v>73.33</v>
      </c>
      <c r="CB166">
        <v>0</v>
      </c>
    </row>
    <row r="167" spans="1:80" x14ac:dyDescent="0.25">
      <c r="A167" s="26">
        <v>246</v>
      </c>
      <c r="B167" s="26" t="s">
        <v>281</v>
      </c>
      <c r="C167" s="26" t="s">
        <v>282</v>
      </c>
      <c r="D167" s="26" t="s">
        <v>19</v>
      </c>
      <c r="E167" s="1">
        <v>4</v>
      </c>
      <c r="F167" s="5">
        <v>144.018</v>
      </c>
      <c r="G167" s="1">
        <v>576.07000000000005</v>
      </c>
      <c r="H167" s="1">
        <v>187.9</v>
      </c>
      <c r="I167" s="1">
        <v>751.6</v>
      </c>
      <c r="J167" s="1">
        <v>175.52999999999997</v>
      </c>
      <c r="K167" s="5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M167" s="26"/>
      <c r="AN167" s="26"/>
      <c r="AO167" s="26"/>
      <c r="AP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6">
        <v>45204</v>
      </c>
      <c r="BN167" s="26" t="s">
        <v>221</v>
      </c>
      <c r="BO167" s="26" t="s">
        <v>221</v>
      </c>
      <c r="BP167" s="26" t="s">
        <v>215</v>
      </c>
      <c r="BQ167">
        <v>126.68</v>
      </c>
      <c r="BR167">
        <v>219.58</v>
      </c>
      <c r="BS167">
        <v>187.9</v>
      </c>
      <c r="BT167">
        <v>295.27999999999997</v>
      </c>
      <c r="BU167">
        <v>6.31</v>
      </c>
      <c r="BV167">
        <v>35.43</v>
      </c>
      <c r="BW167">
        <v>8.34</v>
      </c>
      <c r="BX167" s="26">
        <v>0</v>
      </c>
      <c r="BY167" s="26">
        <v>74.849999999999994</v>
      </c>
      <c r="BZ167">
        <v>9.5500000000000007</v>
      </c>
      <c r="CA167">
        <v>73.33</v>
      </c>
      <c r="CB167">
        <v>0</v>
      </c>
    </row>
    <row r="168" spans="1:80" x14ac:dyDescent="0.25">
      <c r="A168" s="26">
        <v>246</v>
      </c>
      <c r="B168" s="26" t="s">
        <v>281</v>
      </c>
      <c r="C168" s="26" t="s">
        <v>282</v>
      </c>
      <c r="D168" s="26" t="s">
        <v>593</v>
      </c>
      <c r="E168" s="1">
        <v>8.5</v>
      </c>
      <c r="F168" s="5">
        <v>80.010000000000005</v>
      </c>
      <c r="G168" s="1">
        <v>680.08500000000004</v>
      </c>
      <c r="H168" s="1">
        <v>126.68</v>
      </c>
      <c r="I168" s="1">
        <v>1076.78</v>
      </c>
      <c r="J168" s="1">
        <v>396.69499999999994</v>
      </c>
      <c r="K168" s="5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M168" s="26"/>
      <c r="AN168" s="26"/>
      <c r="AO168" s="26"/>
      <c r="AP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6">
        <v>45204</v>
      </c>
      <c r="BN168" s="26" t="s">
        <v>221</v>
      </c>
      <c r="BO168" s="26" t="s">
        <v>221</v>
      </c>
      <c r="BP168" s="26" t="s">
        <v>215</v>
      </c>
      <c r="BQ168">
        <v>126.68</v>
      </c>
      <c r="BR168">
        <v>219.58</v>
      </c>
      <c r="BS168">
        <v>187.9</v>
      </c>
      <c r="BT168">
        <v>295.27999999999997</v>
      </c>
      <c r="BU168">
        <v>6.31</v>
      </c>
      <c r="BV168">
        <v>35.43</v>
      </c>
      <c r="BW168">
        <v>8.34</v>
      </c>
      <c r="BX168" s="26">
        <v>0</v>
      </c>
      <c r="BY168" s="26">
        <v>74.849999999999994</v>
      </c>
      <c r="BZ168">
        <v>9.5500000000000007</v>
      </c>
      <c r="CA168">
        <v>73.33</v>
      </c>
      <c r="CB168">
        <v>0</v>
      </c>
    </row>
    <row r="169" spans="1:80" x14ac:dyDescent="0.25">
      <c r="A169" s="26">
        <v>246</v>
      </c>
      <c r="B169" s="26" t="s">
        <v>284</v>
      </c>
      <c r="C169" s="26" t="s">
        <v>282</v>
      </c>
      <c r="D169" s="26" t="s">
        <v>22</v>
      </c>
      <c r="E169" s="1">
        <v>48</v>
      </c>
      <c r="F169" s="5">
        <v>4.55</v>
      </c>
      <c r="G169" s="1">
        <v>218.4</v>
      </c>
      <c r="H169" s="1">
        <v>6.31</v>
      </c>
      <c r="I169" s="1">
        <v>302.88</v>
      </c>
      <c r="J169" s="1">
        <v>84.47999999999999</v>
      </c>
      <c r="K169" s="5" t="s">
        <v>135</v>
      </c>
      <c r="L169" s="26" t="s">
        <v>296</v>
      </c>
      <c r="M169" s="26" t="s">
        <v>60</v>
      </c>
      <c r="N169" s="26" t="s">
        <v>60</v>
      </c>
      <c r="O169" s="26" t="s">
        <v>60</v>
      </c>
      <c r="P169" s="26" t="s">
        <v>60</v>
      </c>
      <c r="Q169" s="26" t="s">
        <v>60</v>
      </c>
      <c r="R169" s="26" t="s">
        <v>60</v>
      </c>
      <c r="S169" s="26" t="s">
        <v>90</v>
      </c>
      <c r="T169" s="26" t="s">
        <v>441</v>
      </c>
      <c r="U169" s="26" t="s">
        <v>233</v>
      </c>
      <c r="V169" s="26" t="s">
        <v>295</v>
      </c>
      <c r="W169" s="26" t="s">
        <v>60</v>
      </c>
      <c r="X169" s="26" t="s">
        <v>60</v>
      </c>
      <c r="Y169" s="26" t="s">
        <v>55</v>
      </c>
      <c r="Z169" s="26" t="s">
        <v>56</v>
      </c>
      <c r="AA169" s="26" t="s">
        <v>169</v>
      </c>
      <c r="AB169" s="26" t="s">
        <v>297</v>
      </c>
      <c r="AC169" s="26" t="s">
        <v>60</v>
      </c>
      <c r="AD169" s="26" t="s">
        <v>60</v>
      </c>
      <c r="AE169" s="26" t="s">
        <v>456</v>
      </c>
      <c r="AF169" s="26" t="s">
        <v>457</v>
      </c>
      <c r="AG169" s="26" t="s">
        <v>60</v>
      </c>
      <c r="AH169" s="26" t="s">
        <v>60</v>
      </c>
      <c r="AI169" t="s">
        <v>60</v>
      </c>
      <c r="AJ169" t="s">
        <v>60</v>
      </c>
      <c r="AK169" t="s">
        <v>60</v>
      </c>
      <c r="AL169" t="s">
        <v>60</v>
      </c>
      <c r="AM169" s="26" t="s">
        <v>57</v>
      </c>
      <c r="AN169" s="26" t="s">
        <v>58</v>
      </c>
      <c r="AO169" s="26"/>
      <c r="AP169" s="26"/>
      <c r="AS169" s="26"/>
      <c r="AT169" s="26"/>
      <c r="AU169" s="26"/>
      <c r="AV169" s="26" t="s">
        <v>59</v>
      </c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6">
        <v>45207</v>
      </c>
      <c r="BN169" s="26" t="s">
        <v>221</v>
      </c>
      <c r="BO169" s="26" t="s">
        <v>221</v>
      </c>
      <c r="BP169" s="26" t="s">
        <v>215</v>
      </c>
      <c r="BQ169">
        <v>126.68</v>
      </c>
      <c r="BR169">
        <v>219.58</v>
      </c>
      <c r="BS169">
        <v>187.9</v>
      </c>
      <c r="BT169">
        <v>295.27999999999997</v>
      </c>
      <c r="BU169">
        <v>6.31</v>
      </c>
      <c r="BV169">
        <v>35.43</v>
      </c>
      <c r="BW169">
        <v>8.34</v>
      </c>
      <c r="BX169" s="26">
        <v>0</v>
      </c>
      <c r="BY169" s="26">
        <v>74.849999999999994</v>
      </c>
      <c r="BZ169">
        <v>9.5500000000000007</v>
      </c>
      <c r="CA169">
        <v>73.33</v>
      </c>
      <c r="CB169">
        <v>0</v>
      </c>
    </row>
    <row r="170" spans="1:80" x14ac:dyDescent="0.25">
      <c r="A170" s="26">
        <v>246</v>
      </c>
      <c r="B170" s="26" t="s">
        <v>284</v>
      </c>
      <c r="C170" s="26" t="s">
        <v>282</v>
      </c>
      <c r="D170" s="26" t="s">
        <v>13</v>
      </c>
      <c r="E170" s="1">
        <v>4</v>
      </c>
      <c r="F170" s="5">
        <v>30.72</v>
      </c>
      <c r="G170" s="1">
        <v>122.88</v>
      </c>
      <c r="H170" s="1">
        <v>35.43</v>
      </c>
      <c r="I170" s="1">
        <v>141.72</v>
      </c>
      <c r="J170" s="1">
        <v>18.840000000000003</v>
      </c>
      <c r="K170" s="5" t="s">
        <v>135</v>
      </c>
      <c r="L170" s="26" t="s">
        <v>296</v>
      </c>
      <c r="M170" s="26" t="s">
        <v>60</v>
      </c>
      <c r="N170" s="26" t="s">
        <v>60</v>
      </c>
      <c r="O170" s="26" t="s">
        <v>60</v>
      </c>
      <c r="P170" s="26" t="s">
        <v>60</v>
      </c>
      <c r="Q170" s="26" t="s">
        <v>60</v>
      </c>
      <c r="R170" s="26" t="s">
        <v>60</v>
      </c>
      <c r="S170" s="26" t="s">
        <v>90</v>
      </c>
      <c r="T170" s="26" t="s">
        <v>441</v>
      </c>
      <c r="U170" s="26" t="s">
        <v>233</v>
      </c>
      <c r="V170" s="26" t="s">
        <v>295</v>
      </c>
      <c r="W170" s="26" t="s">
        <v>60</v>
      </c>
      <c r="X170" s="26" t="s">
        <v>60</v>
      </c>
      <c r="Y170" s="26" t="s">
        <v>55</v>
      </c>
      <c r="Z170" s="26" t="s">
        <v>56</v>
      </c>
      <c r="AA170" s="26" t="s">
        <v>169</v>
      </c>
      <c r="AB170" s="26" t="s">
        <v>297</v>
      </c>
      <c r="AC170" s="26" t="s">
        <v>60</v>
      </c>
      <c r="AD170" s="26" t="s">
        <v>60</v>
      </c>
      <c r="AE170" s="26" t="s">
        <v>456</v>
      </c>
      <c r="AF170" s="26" t="s">
        <v>457</v>
      </c>
      <c r="AG170" s="26" t="s">
        <v>60</v>
      </c>
      <c r="AH170" s="26" t="s">
        <v>60</v>
      </c>
      <c r="AI170">
        <v>0</v>
      </c>
      <c r="AJ170">
        <v>0</v>
      </c>
      <c r="AK170" t="s">
        <v>60</v>
      </c>
      <c r="AL170" t="s">
        <v>60</v>
      </c>
      <c r="AM170" s="26" t="s">
        <v>57</v>
      </c>
      <c r="AN170" s="26" t="s">
        <v>58</v>
      </c>
      <c r="AO170" s="26" t="s">
        <v>431</v>
      </c>
      <c r="AP170" s="26" t="s">
        <v>491</v>
      </c>
      <c r="AQ170">
        <v>4</v>
      </c>
      <c r="AR170">
        <v>122.88</v>
      </c>
      <c r="AS170" s="26" t="s">
        <v>60</v>
      </c>
      <c r="AT170" s="26" t="s">
        <v>60</v>
      </c>
      <c r="AU170" s="26" t="s">
        <v>60</v>
      </c>
      <c r="AV170" s="26" t="s">
        <v>59</v>
      </c>
      <c r="AW170" s="26" t="s">
        <v>540</v>
      </c>
      <c r="AX170" s="26" t="s">
        <v>540</v>
      </c>
      <c r="AY170" s="26" t="s">
        <v>542</v>
      </c>
      <c r="AZ170" s="26" t="s">
        <v>543</v>
      </c>
      <c r="BA170" s="26" t="s">
        <v>541</v>
      </c>
      <c r="BB170" s="26" t="s">
        <v>191</v>
      </c>
      <c r="BC170" s="26"/>
      <c r="BD170" s="26"/>
      <c r="BE170" s="26"/>
      <c r="BF170" s="26"/>
      <c r="BG170" s="26"/>
      <c r="BH170" s="26"/>
      <c r="BI170" s="26"/>
      <c r="BJ170" s="26"/>
      <c r="BK170" s="26"/>
      <c r="BL170" s="26" t="s">
        <v>307</v>
      </c>
      <c r="BM170" s="6">
        <v>45207</v>
      </c>
      <c r="BN170" s="26" t="s">
        <v>221</v>
      </c>
      <c r="BO170" s="26" t="s">
        <v>221</v>
      </c>
      <c r="BP170" s="26" t="s">
        <v>215</v>
      </c>
      <c r="BQ170">
        <v>126.68</v>
      </c>
      <c r="BR170">
        <v>219.58</v>
      </c>
      <c r="BS170">
        <v>187.9</v>
      </c>
      <c r="BT170">
        <v>295.27999999999997</v>
      </c>
      <c r="BU170">
        <v>6.31</v>
      </c>
      <c r="BV170">
        <v>35.43</v>
      </c>
      <c r="BW170">
        <v>8.34</v>
      </c>
      <c r="BX170" s="26">
        <v>0</v>
      </c>
      <c r="BY170" s="26">
        <v>74.849999999999994</v>
      </c>
      <c r="BZ170">
        <v>9.5500000000000007</v>
      </c>
      <c r="CA170">
        <v>73.33</v>
      </c>
      <c r="CB170">
        <v>0</v>
      </c>
    </row>
    <row r="171" spans="1:80" x14ac:dyDescent="0.25">
      <c r="A171" s="26">
        <v>246</v>
      </c>
      <c r="B171" s="26" t="s">
        <v>284</v>
      </c>
      <c r="C171" s="26" t="s">
        <v>282</v>
      </c>
      <c r="D171" s="26" t="s">
        <v>25</v>
      </c>
      <c r="E171" s="1">
        <v>5</v>
      </c>
      <c r="F171" s="5">
        <v>52.9</v>
      </c>
      <c r="G171" s="1">
        <v>264.5</v>
      </c>
      <c r="H171" s="1">
        <v>73.33</v>
      </c>
      <c r="I171" s="1">
        <v>366.65</v>
      </c>
      <c r="J171" s="1">
        <v>102.14999999999998</v>
      </c>
      <c r="K171" s="5" t="s">
        <v>135</v>
      </c>
      <c r="L171" s="26" t="s">
        <v>296</v>
      </c>
      <c r="M171" s="26" t="s">
        <v>60</v>
      </c>
      <c r="N171" s="26" t="s">
        <v>60</v>
      </c>
      <c r="O171" s="26" t="s">
        <v>60</v>
      </c>
      <c r="P171" s="26" t="s">
        <v>60</v>
      </c>
      <c r="Q171" s="26" t="s">
        <v>60</v>
      </c>
      <c r="R171" s="26" t="s">
        <v>60</v>
      </c>
      <c r="S171" s="26" t="s">
        <v>90</v>
      </c>
      <c r="T171" s="26" t="s">
        <v>441</v>
      </c>
      <c r="U171" s="26" t="s">
        <v>233</v>
      </c>
      <c r="V171" s="26" t="s">
        <v>295</v>
      </c>
      <c r="W171" s="26" t="s">
        <v>60</v>
      </c>
      <c r="X171" s="26" t="s">
        <v>60</v>
      </c>
      <c r="Y171" s="26" t="s">
        <v>55</v>
      </c>
      <c r="Z171" s="26" t="s">
        <v>56</v>
      </c>
      <c r="AA171" s="26" t="s">
        <v>169</v>
      </c>
      <c r="AB171" s="26" t="s">
        <v>297</v>
      </c>
      <c r="AC171" s="26" t="s">
        <v>60</v>
      </c>
      <c r="AD171" s="26" t="s">
        <v>60</v>
      </c>
      <c r="AE171" s="26" t="s">
        <v>456</v>
      </c>
      <c r="AF171" s="26" t="s">
        <v>457</v>
      </c>
      <c r="AG171" s="26" t="s">
        <v>60</v>
      </c>
      <c r="AH171" s="26" t="s">
        <v>60</v>
      </c>
      <c r="AI171" t="s">
        <v>60</v>
      </c>
      <c r="AJ171" t="s">
        <v>60</v>
      </c>
      <c r="AK171">
        <v>0</v>
      </c>
      <c r="AL171">
        <v>0</v>
      </c>
      <c r="AM171" s="26" t="s">
        <v>57</v>
      </c>
      <c r="AN171" s="26" t="s">
        <v>58</v>
      </c>
      <c r="AO171" s="26">
        <v>5</v>
      </c>
      <c r="AP171" s="26">
        <v>264.5</v>
      </c>
      <c r="AQ171" t="s">
        <v>133</v>
      </c>
      <c r="AR171" t="s">
        <v>305</v>
      </c>
      <c r="AS171" s="26" t="s">
        <v>60</v>
      </c>
      <c r="AT171" s="26" t="s">
        <v>60</v>
      </c>
      <c r="AU171" s="26" t="s">
        <v>60</v>
      </c>
      <c r="AV171" s="26" t="s">
        <v>59</v>
      </c>
      <c r="AW171" s="26" t="s">
        <v>540</v>
      </c>
      <c r="AX171" s="26" t="s">
        <v>540</v>
      </c>
      <c r="AY171" s="26" t="s">
        <v>542</v>
      </c>
      <c r="AZ171" s="26" t="s">
        <v>543</v>
      </c>
      <c r="BA171" s="26" t="s">
        <v>541</v>
      </c>
      <c r="BB171" s="26" t="s">
        <v>191</v>
      </c>
      <c r="BC171" s="26" t="s">
        <v>60</v>
      </c>
      <c r="BD171" s="26" t="s">
        <v>60</v>
      </c>
      <c r="BE171" s="26" t="s">
        <v>304</v>
      </c>
      <c r="BF171" s="26" t="s">
        <v>239</v>
      </c>
      <c r="BG171" s="26" t="s">
        <v>559</v>
      </c>
      <c r="BH171" s="26" t="s">
        <v>60</v>
      </c>
      <c r="BI171" s="26" t="s">
        <v>60</v>
      </c>
      <c r="BJ171" s="26" t="s">
        <v>60</v>
      </c>
      <c r="BK171" s="26" t="s">
        <v>60</v>
      </c>
      <c r="BL171" s="26" t="s">
        <v>307</v>
      </c>
      <c r="BM171" s="6">
        <v>45207</v>
      </c>
      <c r="BN171" s="26" t="s">
        <v>221</v>
      </c>
      <c r="BO171" s="26" t="s">
        <v>221</v>
      </c>
      <c r="BP171" s="26" t="s">
        <v>215</v>
      </c>
      <c r="BQ171">
        <v>126.68</v>
      </c>
      <c r="BR171">
        <v>219.58</v>
      </c>
      <c r="BS171">
        <v>187.9</v>
      </c>
      <c r="BT171">
        <v>295.27999999999997</v>
      </c>
      <c r="BU171">
        <v>6.31</v>
      </c>
      <c r="BV171">
        <v>35.43</v>
      </c>
      <c r="BW171">
        <v>8.34</v>
      </c>
      <c r="BX171" s="26">
        <v>0</v>
      </c>
      <c r="BY171" s="26">
        <v>74.849999999999994</v>
      </c>
      <c r="BZ171">
        <v>9.5500000000000007</v>
      </c>
      <c r="CA171">
        <v>73.33</v>
      </c>
      <c r="CB171">
        <v>0</v>
      </c>
    </row>
    <row r="172" spans="1:80" x14ac:dyDescent="0.25">
      <c r="A172" s="26">
        <v>790</v>
      </c>
      <c r="B172" s="26" t="s">
        <v>110</v>
      </c>
      <c r="C172" s="26" t="s">
        <v>111</v>
      </c>
      <c r="D172" s="26" t="s">
        <v>18</v>
      </c>
      <c r="E172" s="1">
        <v>8</v>
      </c>
      <c r="F172" s="5">
        <v>80.010000000000005</v>
      </c>
      <c r="G172" s="1">
        <v>640.08000000000004</v>
      </c>
      <c r="H172" s="1">
        <v>126.68</v>
      </c>
      <c r="I172" s="1">
        <v>1013.44</v>
      </c>
      <c r="J172" s="1">
        <v>373.36</v>
      </c>
      <c r="K172" s="5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M172" s="26"/>
      <c r="AN172" s="26"/>
      <c r="AO172" s="26"/>
      <c r="AP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6">
        <v>45201</v>
      </c>
      <c r="BN172" s="26" t="s">
        <v>138</v>
      </c>
      <c r="BO172" s="26" t="s">
        <v>139</v>
      </c>
      <c r="BP172" s="26" t="s">
        <v>75</v>
      </c>
      <c r="BQ172">
        <v>126.68</v>
      </c>
      <c r="BR172">
        <v>219.58</v>
      </c>
      <c r="BS172">
        <v>187.9</v>
      </c>
      <c r="BT172">
        <v>295.27999999999997</v>
      </c>
      <c r="BU172">
        <v>14.07</v>
      </c>
      <c r="BV172">
        <v>35.43</v>
      </c>
      <c r="BW172">
        <v>8.34</v>
      </c>
      <c r="BX172" s="26">
        <v>0</v>
      </c>
      <c r="BY172" s="26">
        <v>0</v>
      </c>
      <c r="BZ172">
        <v>9.5500000000000007</v>
      </c>
      <c r="CA172">
        <v>73.33</v>
      </c>
      <c r="CB172">
        <v>0</v>
      </c>
    </row>
    <row r="173" spans="1:80" x14ac:dyDescent="0.25">
      <c r="A173" s="26">
        <v>790</v>
      </c>
      <c r="B173" s="26" t="s">
        <v>110</v>
      </c>
      <c r="C173" s="26" t="s">
        <v>111</v>
      </c>
      <c r="D173" s="26" t="s">
        <v>19</v>
      </c>
      <c r="E173" s="1">
        <v>4</v>
      </c>
      <c r="F173" s="5">
        <v>144.018</v>
      </c>
      <c r="G173" s="1">
        <v>576.07000000000005</v>
      </c>
      <c r="H173" s="1">
        <v>187.9</v>
      </c>
      <c r="I173" s="1">
        <v>751.6</v>
      </c>
      <c r="J173" s="1">
        <v>175.52999999999997</v>
      </c>
      <c r="K173" s="5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M173" s="26"/>
      <c r="AN173" s="26"/>
      <c r="AO173" s="26"/>
      <c r="AP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6">
        <v>45201</v>
      </c>
      <c r="BN173" s="26" t="s">
        <v>138</v>
      </c>
      <c r="BO173" s="26" t="s">
        <v>139</v>
      </c>
      <c r="BP173" s="26" t="s">
        <v>75</v>
      </c>
      <c r="BQ173">
        <v>126.68</v>
      </c>
      <c r="BR173">
        <v>219.58</v>
      </c>
      <c r="BS173">
        <v>187.9</v>
      </c>
      <c r="BT173">
        <v>295.27999999999997</v>
      </c>
      <c r="BU173">
        <v>14.07</v>
      </c>
      <c r="BV173">
        <v>35.43</v>
      </c>
      <c r="BW173">
        <v>8.34</v>
      </c>
      <c r="BX173" s="26">
        <v>0</v>
      </c>
      <c r="BY173" s="26">
        <v>0</v>
      </c>
      <c r="BZ173">
        <v>9.5500000000000007</v>
      </c>
      <c r="CA173">
        <v>73.33</v>
      </c>
      <c r="CB173">
        <v>0</v>
      </c>
    </row>
    <row r="174" spans="1:80" x14ac:dyDescent="0.25">
      <c r="A174" s="26">
        <v>790</v>
      </c>
      <c r="B174" s="26" t="s">
        <v>110</v>
      </c>
      <c r="C174" s="26" t="s">
        <v>111</v>
      </c>
      <c r="D174" s="26" t="s">
        <v>18</v>
      </c>
      <c r="E174" s="1">
        <v>8</v>
      </c>
      <c r="F174" s="5">
        <v>80.010000000000005</v>
      </c>
      <c r="G174" s="1">
        <v>640.08000000000004</v>
      </c>
      <c r="H174" s="1">
        <v>126.68</v>
      </c>
      <c r="I174" s="1">
        <v>1013.44</v>
      </c>
      <c r="J174" s="1">
        <v>373.36</v>
      </c>
      <c r="K174" s="5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M174" s="26"/>
      <c r="AN174" s="26"/>
      <c r="AO174" s="26"/>
      <c r="AP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6">
        <v>45202</v>
      </c>
      <c r="BN174" s="26" t="s">
        <v>138</v>
      </c>
      <c r="BO174" s="26" t="s">
        <v>139</v>
      </c>
      <c r="BP174" s="26" t="s">
        <v>75</v>
      </c>
      <c r="BQ174">
        <v>126.68</v>
      </c>
      <c r="BR174">
        <v>219.58</v>
      </c>
      <c r="BS174">
        <v>187.9</v>
      </c>
      <c r="BT174">
        <v>295.27999999999997</v>
      </c>
      <c r="BU174">
        <v>14.07</v>
      </c>
      <c r="BV174">
        <v>35.43</v>
      </c>
      <c r="BW174">
        <v>8.34</v>
      </c>
      <c r="BX174" s="26">
        <v>0</v>
      </c>
      <c r="BY174" s="26">
        <v>0</v>
      </c>
      <c r="BZ174">
        <v>9.5500000000000007</v>
      </c>
      <c r="CA174">
        <v>73.33</v>
      </c>
      <c r="CB174">
        <v>0</v>
      </c>
    </row>
    <row r="175" spans="1:80" x14ac:dyDescent="0.25">
      <c r="A175" s="26">
        <v>790</v>
      </c>
      <c r="B175" s="26" t="s">
        <v>110</v>
      </c>
      <c r="C175" s="26" t="s">
        <v>111</v>
      </c>
      <c r="D175" s="26" t="s">
        <v>19</v>
      </c>
      <c r="E175" s="1">
        <v>4</v>
      </c>
      <c r="F175" s="5">
        <v>144.018</v>
      </c>
      <c r="G175" s="1">
        <v>576.07000000000005</v>
      </c>
      <c r="H175" s="1">
        <v>187.9</v>
      </c>
      <c r="I175" s="1">
        <v>751.6</v>
      </c>
      <c r="J175" s="1">
        <v>175.52999999999997</v>
      </c>
      <c r="K175" s="5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M175" s="26"/>
      <c r="AN175" s="26"/>
      <c r="AO175" s="26"/>
      <c r="AP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6">
        <v>45202</v>
      </c>
      <c r="BN175" s="26" t="s">
        <v>138</v>
      </c>
      <c r="BO175" s="26" t="s">
        <v>139</v>
      </c>
      <c r="BP175" s="26" t="s">
        <v>75</v>
      </c>
      <c r="BQ175">
        <v>126.68</v>
      </c>
      <c r="BR175">
        <v>219.58</v>
      </c>
      <c r="BS175">
        <v>187.9</v>
      </c>
      <c r="BT175">
        <v>295.27999999999997</v>
      </c>
      <c r="BU175">
        <v>14.07</v>
      </c>
      <c r="BV175">
        <v>35.43</v>
      </c>
      <c r="BW175">
        <v>8.34</v>
      </c>
      <c r="BX175" s="26">
        <v>0</v>
      </c>
      <c r="BY175" s="26">
        <v>0</v>
      </c>
      <c r="BZ175">
        <v>9.5500000000000007</v>
      </c>
      <c r="CA175">
        <v>73.33</v>
      </c>
      <c r="CB175">
        <v>0</v>
      </c>
    </row>
    <row r="176" spans="1:80" x14ac:dyDescent="0.25">
      <c r="A176" s="26">
        <v>790</v>
      </c>
      <c r="B176" s="26" t="s">
        <v>110</v>
      </c>
      <c r="C176" s="26" t="s">
        <v>111</v>
      </c>
      <c r="D176" s="26" t="s">
        <v>18</v>
      </c>
      <c r="E176" s="1">
        <v>8</v>
      </c>
      <c r="F176" s="5">
        <v>80.010000000000005</v>
      </c>
      <c r="G176" s="1">
        <v>640.08000000000004</v>
      </c>
      <c r="H176" s="1">
        <v>126.68</v>
      </c>
      <c r="I176" s="1">
        <v>1013.44</v>
      </c>
      <c r="J176" s="1">
        <v>373.36</v>
      </c>
      <c r="K176" s="5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M176" s="26"/>
      <c r="AN176" s="26"/>
      <c r="AO176" s="26"/>
      <c r="AP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6">
        <v>45203</v>
      </c>
      <c r="BN176" s="26" t="s">
        <v>138</v>
      </c>
      <c r="BO176" s="26" t="s">
        <v>139</v>
      </c>
      <c r="BP176" s="26" t="s">
        <v>75</v>
      </c>
      <c r="BQ176">
        <v>126.68</v>
      </c>
      <c r="BR176">
        <v>219.58</v>
      </c>
      <c r="BS176">
        <v>187.9</v>
      </c>
      <c r="BT176">
        <v>295.27999999999997</v>
      </c>
      <c r="BU176">
        <v>14.07</v>
      </c>
      <c r="BV176">
        <v>35.43</v>
      </c>
      <c r="BW176">
        <v>8.34</v>
      </c>
      <c r="BX176" s="26">
        <v>0</v>
      </c>
      <c r="BY176" s="26">
        <v>0</v>
      </c>
      <c r="BZ176">
        <v>9.5500000000000007</v>
      </c>
      <c r="CA176">
        <v>73.33</v>
      </c>
      <c r="CB176">
        <v>0</v>
      </c>
    </row>
    <row r="177" spans="1:80" x14ac:dyDescent="0.25">
      <c r="A177" s="26">
        <v>790</v>
      </c>
      <c r="B177" s="26" t="s">
        <v>110</v>
      </c>
      <c r="C177" s="26" t="s">
        <v>111</v>
      </c>
      <c r="D177" s="26" t="s">
        <v>19</v>
      </c>
      <c r="E177" s="1">
        <v>4</v>
      </c>
      <c r="F177" s="5">
        <v>144.018</v>
      </c>
      <c r="G177" s="1">
        <v>576.07000000000005</v>
      </c>
      <c r="H177" s="1">
        <v>187.9</v>
      </c>
      <c r="I177" s="1">
        <v>751.6</v>
      </c>
      <c r="J177" s="1">
        <v>175.52999999999997</v>
      </c>
      <c r="K177" s="5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M177" s="26"/>
      <c r="AN177" s="26"/>
      <c r="AO177" s="26"/>
      <c r="AP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6">
        <v>45203</v>
      </c>
      <c r="BN177" s="26" t="s">
        <v>138</v>
      </c>
      <c r="BO177" s="26" t="s">
        <v>139</v>
      </c>
      <c r="BP177" s="26" t="s">
        <v>75</v>
      </c>
      <c r="BQ177">
        <v>126.68</v>
      </c>
      <c r="BR177">
        <v>219.58</v>
      </c>
      <c r="BS177">
        <v>187.9</v>
      </c>
      <c r="BT177">
        <v>295.27999999999997</v>
      </c>
      <c r="BU177">
        <v>14.07</v>
      </c>
      <c r="BV177">
        <v>35.43</v>
      </c>
      <c r="BW177">
        <v>8.34</v>
      </c>
      <c r="BX177" s="26">
        <v>0</v>
      </c>
      <c r="BY177" s="26">
        <v>0</v>
      </c>
      <c r="BZ177">
        <v>9.5500000000000007</v>
      </c>
      <c r="CA177">
        <v>73.33</v>
      </c>
      <c r="CB177">
        <v>0</v>
      </c>
    </row>
    <row r="178" spans="1:80" x14ac:dyDescent="0.25">
      <c r="A178" s="26">
        <v>790</v>
      </c>
      <c r="B178" s="26" t="s">
        <v>110</v>
      </c>
      <c r="C178" s="26" t="s">
        <v>111</v>
      </c>
      <c r="D178" s="26" t="s">
        <v>18</v>
      </c>
      <c r="E178" s="1">
        <v>8</v>
      </c>
      <c r="F178" s="5">
        <v>80.010000000000005</v>
      </c>
      <c r="G178" s="1">
        <v>640.08000000000004</v>
      </c>
      <c r="H178" s="1">
        <v>126.68</v>
      </c>
      <c r="I178" s="1">
        <v>1013.44</v>
      </c>
      <c r="J178" s="1">
        <v>373.36</v>
      </c>
      <c r="K178" s="5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M178" s="26"/>
      <c r="AN178" s="26"/>
      <c r="AO178" s="26"/>
      <c r="AP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6">
        <v>45204</v>
      </c>
      <c r="BN178" s="26" t="s">
        <v>138</v>
      </c>
      <c r="BO178" s="26" t="s">
        <v>139</v>
      </c>
      <c r="BP178" s="26" t="s">
        <v>75</v>
      </c>
      <c r="BQ178">
        <v>126.68</v>
      </c>
      <c r="BR178">
        <v>219.58</v>
      </c>
      <c r="BS178">
        <v>187.9</v>
      </c>
      <c r="BT178">
        <v>295.27999999999997</v>
      </c>
      <c r="BU178">
        <v>14.07</v>
      </c>
      <c r="BV178">
        <v>35.43</v>
      </c>
      <c r="BW178">
        <v>8.34</v>
      </c>
      <c r="BX178" s="26">
        <v>0</v>
      </c>
      <c r="BY178" s="26">
        <v>0</v>
      </c>
      <c r="BZ178">
        <v>9.5500000000000007</v>
      </c>
      <c r="CA178">
        <v>73.33</v>
      </c>
      <c r="CB178">
        <v>0</v>
      </c>
    </row>
    <row r="179" spans="1:80" x14ac:dyDescent="0.25">
      <c r="A179" s="26">
        <v>790</v>
      </c>
      <c r="B179" s="26" t="s">
        <v>110</v>
      </c>
      <c r="C179" s="26" t="s">
        <v>111</v>
      </c>
      <c r="D179" s="26" t="s">
        <v>19</v>
      </c>
      <c r="E179" s="1">
        <v>4</v>
      </c>
      <c r="F179" s="5">
        <v>144.018</v>
      </c>
      <c r="G179" s="1">
        <v>576.07000000000005</v>
      </c>
      <c r="H179" s="1">
        <v>187.9</v>
      </c>
      <c r="I179" s="1">
        <v>751.6</v>
      </c>
      <c r="J179" s="1">
        <v>175.52999999999997</v>
      </c>
      <c r="K179" s="5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M179" s="26"/>
      <c r="AN179" s="26"/>
      <c r="AO179" s="26"/>
      <c r="AP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6">
        <v>45204</v>
      </c>
      <c r="BN179" s="26" t="s">
        <v>138</v>
      </c>
      <c r="BO179" s="26" t="s">
        <v>139</v>
      </c>
      <c r="BP179" s="26" t="s">
        <v>75</v>
      </c>
      <c r="BQ179">
        <v>126.68</v>
      </c>
      <c r="BR179">
        <v>219.58</v>
      </c>
      <c r="BS179">
        <v>187.9</v>
      </c>
      <c r="BT179">
        <v>295.27999999999997</v>
      </c>
      <c r="BU179">
        <v>14.07</v>
      </c>
      <c r="BV179">
        <v>35.43</v>
      </c>
      <c r="BW179">
        <v>8.34</v>
      </c>
      <c r="BX179" s="26">
        <v>0</v>
      </c>
      <c r="BY179" s="26">
        <v>0</v>
      </c>
      <c r="BZ179">
        <v>9.5500000000000007</v>
      </c>
      <c r="CA179">
        <v>73.33</v>
      </c>
      <c r="CB179">
        <v>0</v>
      </c>
    </row>
    <row r="180" spans="1:80" x14ac:dyDescent="0.25">
      <c r="A180" s="26">
        <v>790</v>
      </c>
      <c r="B180" s="26" t="s">
        <v>176</v>
      </c>
      <c r="C180" s="26" t="s">
        <v>111</v>
      </c>
      <c r="D180" s="26" t="s">
        <v>22</v>
      </c>
      <c r="E180" s="1">
        <v>48</v>
      </c>
      <c r="F180" s="5">
        <v>10.15</v>
      </c>
      <c r="G180" s="1">
        <v>487.2</v>
      </c>
      <c r="H180" s="1">
        <v>14.07</v>
      </c>
      <c r="I180" s="1">
        <v>675.36</v>
      </c>
      <c r="J180" s="1">
        <v>188.16000000000003</v>
      </c>
      <c r="K180" s="5" t="s">
        <v>135</v>
      </c>
      <c r="L180" s="26" t="s">
        <v>296</v>
      </c>
      <c r="M180" s="26" t="s">
        <v>60</v>
      </c>
      <c r="N180" s="26" t="s">
        <v>60</v>
      </c>
      <c r="O180" s="26" t="s">
        <v>60</v>
      </c>
      <c r="P180" s="26" t="s">
        <v>60</v>
      </c>
      <c r="Q180" s="26" t="s">
        <v>60</v>
      </c>
      <c r="R180" s="26" t="s">
        <v>60</v>
      </c>
      <c r="S180" s="26" t="s">
        <v>60</v>
      </c>
      <c r="T180" s="26" t="s">
        <v>60</v>
      </c>
      <c r="U180" s="26" t="s">
        <v>233</v>
      </c>
      <c r="V180" s="26" t="s">
        <v>295</v>
      </c>
      <c r="W180" s="26" t="s">
        <v>60</v>
      </c>
      <c r="X180" s="26" t="s">
        <v>60</v>
      </c>
      <c r="Y180" s="26" t="s">
        <v>55</v>
      </c>
      <c r="Z180" s="26" t="s">
        <v>56</v>
      </c>
      <c r="AA180" s="26" t="s">
        <v>169</v>
      </c>
      <c r="AB180" s="26" t="s">
        <v>297</v>
      </c>
      <c r="AC180" s="26" t="s">
        <v>60</v>
      </c>
      <c r="AD180" s="26" t="s">
        <v>60</v>
      </c>
      <c r="AE180" s="26" t="s">
        <v>60</v>
      </c>
      <c r="AF180" s="26" t="s">
        <v>60</v>
      </c>
      <c r="AG180" s="26" t="s">
        <v>60</v>
      </c>
      <c r="AH180" s="26" t="s">
        <v>60</v>
      </c>
      <c r="AI180" t="s">
        <v>60</v>
      </c>
      <c r="AJ180" t="s">
        <v>60</v>
      </c>
      <c r="AK180" t="s">
        <v>60</v>
      </c>
      <c r="AL180" t="s">
        <v>60</v>
      </c>
      <c r="AM180" s="26" t="s">
        <v>57</v>
      </c>
      <c r="AN180" s="26" t="s">
        <v>58</v>
      </c>
      <c r="AO180" s="26"/>
      <c r="AP180" s="26"/>
      <c r="AS180" s="26"/>
      <c r="AT180" s="26"/>
      <c r="AU180" s="26"/>
      <c r="AV180" s="26" t="s">
        <v>59</v>
      </c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6">
        <v>45207</v>
      </c>
      <c r="BN180" s="26" t="s">
        <v>138</v>
      </c>
      <c r="BO180" s="26" t="s">
        <v>139</v>
      </c>
      <c r="BP180" s="26" t="s">
        <v>75</v>
      </c>
      <c r="BQ180">
        <v>126.68</v>
      </c>
      <c r="BR180">
        <v>219.58</v>
      </c>
      <c r="BS180">
        <v>187.9</v>
      </c>
      <c r="BT180">
        <v>295.27999999999997</v>
      </c>
      <c r="BU180">
        <v>14.07</v>
      </c>
      <c r="BV180">
        <v>35.43</v>
      </c>
      <c r="BW180">
        <v>8.34</v>
      </c>
      <c r="BX180" s="26">
        <v>0</v>
      </c>
      <c r="BY180" s="26">
        <v>0</v>
      </c>
      <c r="BZ180">
        <v>9.5500000000000007</v>
      </c>
      <c r="CA180">
        <v>73.33</v>
      </c>
      <c r="CB180">
        <v>0</v>
      </c>
    </row>
    <row r="181" spans="1:80" x14ac:dyDescent="0.25">
      <c r="A181" s="26">
        <v>790</v>
      </c>
      <c r="B181" s="26" t="s">
        <v>176</v>
      </c>
      <c r="C181" s="26" t="s">
        <v>111</v>
      </c>
      <c r="D181" s="26" t="s">
        <v>13</v>
      </c>
      <c r="E181" s="1">
        <v>4</v>
      </c>
      <c r="F181" s="5">
        <v>30.72</v>
      </c>
      <c r="G181" s="1">
        <v>122.88</v>
      </c>
      <c r="H181" s="1">
        <v>35.43</v>
      </c>
      <c r="I181" s="1">
        <v>141.72</v>
      </c>
      <c r="J181" s="1">
        <v>18.840000000000003</v>
      </c>
      <c r="K181" s="5" t="s">
        <v>135</v>
      </c>
      <c r="L181" s="26" t="s">
        <v>296</v>
      </c>
      <c r="M181" s="26" t="s">
        <v>60</v>
      </c>
      <c r="N181" s="26" t="s">
        <v>60</v>
      </c>
      <c r="O181" s="26" t="s">
        <v>60</v>
      </c>
      <c r="P181" s="26" t="s">
        <v>60</v>
      </c>
      <c r="Q181" s="26" t="s">
        <v>60</v>
      </c>
      <c r="R181" s="26" t="s">
        <v>60</v>
      </c>
      <c r="S181" s="26" t="s">
        <v>60</v>
      </c>
      <c r="T181" s="26" t="s">
        <v>60</v>
      </c>
      <c r="U181" s="26" t="s">
        <v>233</v>
      </c>
      <c r="V181" s="26" t="s">
        <v>295</v>
      </c>
      <c r="W181" s="26" t="s">
        <v>60</v>
      </c>
      <c r="X181" s="26" t="s">
        <v>60</v>
      </c>
      <c r="Y181" s="26" t="s">
        <v>55</v>
      </c>
      <c r="Z181" s="26" t="s">
        <v>56</v>
      </c>
      <c r="AA181" s="26" t="s">
        <v>169</v>
      </c>
      <c r="AB181" s="26" t="s">
        <v>297</v>
      </c>
      <c r="AC181" s="26" t="s">
        <v>60</v>
      </c>
      <c r="AD181" s="26" t="s">
        <v>60</v>
      </c>
      <c r="AE181" s="26" t="s">
        <v>60</v>
      </c>
      <c r="AF181" s="26" t="s">
        <v>60</v>
      </c>
      <c r="AG181" s="26" t="s">
        <v>60</v>
      </c>
      <c r="AH181" s="26" t="s">
        <v>60</v>
      </c>
      <c r="AI181">
        <v>0</v>
      </c>
      <c r="AJ181">
        <v>0</v>
      </c>
      <c r="AK181" t="s">
        <v>60</v>
      </c>
      <c r="AL181" t="s">
        <v>60</v>
      </c>
      <c r="AM181" s="26" t="s">
        <v>57</v>
      </c>
      <c r="AN181" s="26" t="s">
        <v>58</v>
      </c>
      <c r="AO181" s="26" t="s">
        <v>133</v>
      </c>
      <c r="AP181" s="26" t="s">
        <v>306</v>
      </c>
      <c r="AQ181">
        <v>4</v>
      </c>
      <c r="AR181">
        <v>122.88</v>
      </c>
      <c r="AS181" s="26" t="s">
        <v>60</v>
      </c>
      <c r="AT181" s="26" t="s">
        <v>60</v>
      </c>
      <c r="AU181" s="26" t="s">
        <v>60</v>
      </c>
      <c r="AV181" s="26" t="s">
        <v>59</v>
      </c>
      <c r="AW181" s="26" t="s">
        <v>318</v>
      </c>
      <c r="AX181" s="26" t="s">
        <v>318</v>
      </c>
      <c r="AY181" s="26" t="s">
        <v>545</v>
      </c>
      <c r="AZ181" s="26" t="s">
        <v>396</v>
      </c>
      <c r="BA181" s="26" t="s">
        <v>544</v>
      </c>
      <c r="BB181" s="26" t="s">
        <v>191</v>
      </c>
      <c r="BC181" s="26"/>
      <c r="BD181" s="26"/>
      <c r="BE181" s="26"/>
      <c r="BF181" s="26"/>
      <c r="BG181" s="26"/>
      <c r="BH181" s="26"/>
      <c r="BI181" s="26"/>
      <c r="BJ181" s="26"/>
      <c r="BK181" s="26"/>
      <c r="BL181" s="26" t="s">
        <v>194</v>
      </c>
      <c r="BM181" s="6">
        <v>45207</v>
      </c>
      <c r="BN181" s="26" t="s">
        <v>138</v>
      </c>
      <c r="BO181" s="26" t="s">
        <v>139</v>
      </c>
      <c r="BP181" s="26" t="s">
        <v>75</v>
      </c>
      <c r="BQ181">
        <v>126.68</v>
      </c>
      <c r="BR181">
        <v>219.58</v>
      </c>
      <c r="BS181">
        <v>187.9</v>
      </c>
      <c r="BT181">
        <v>295.27999999999997</v>
      </c>
      <c r="BU181">
        <v>14.07</v>
      </c>
      <c r="BV181">
        <v>35.43</v>
      </c>
      <c r="BW181">
        <v>8.34</v>
      </c>
      <c r="BX181" s="26">
        <v>0</v>
      </c>
      <c r="BY181" s="26">
        <v>0</v>
      </c>
      <c r="BZ181">
        <v>9.5500000000000007</v>
      </c>
      <c r="CA181">
        <v>73.33</v>
      </c>
      <c r="CB181">
        <v>0</v>
      </c>
    </row>
    <row r="182" spans="1:80" x14ac:dyDescent="0.25">
      <c r="A182" s="26">
        <v>790</v>
      </c>
      <c r="B182" s="26" t="s">
        <v>176</v>
      </c>
      <c r="C182" s="26" t="s">
        <v>111</v>
      </c>
      <c r="D182" s="26" t="s">
        <v>25</v>
      </c>
      <c r="E182" s="1">
        <v>4</v>
      </c>
      <c r="F182" s="5">
        <v>52.9</v>
      </c>
      <c r="G182" s="1">
        <v>211.6</v>
      </c>
      <c r="H182" s="1">
        <v>73.33</v>
      </c>
      <c r="I182" s="1">
        <v>293.32</v>
      </c>
      <c r="J182" s="1">
        <v>81.72</v>
      </c>
      <c r="K182" s="5" t="s">
        <v>135</v>
      </c>
      <c r="L182" s="26" t="s">
        <v>296</v>
      </c>
      <c r="M182" s="26" t="s">
        <v>60</v>
      </c>
      <c r="N182" s="26" t="s">
        <v>60</v>
      </c>
      <c r="O182" s="26" t="s">
        <v>60</v>
      </c>
      <c r="P182" s="26" t="s">
        <v>60</v>
      </c>
      <c r="Q182" s="26" t="s">
        <v>60</v>
      </c>
      <c r="R182" s="26" t="s">
        <v>60</v>
      </c>
      <c r="S182" s="26" t="s">
        <v>60</v>
      </c>
      <c r="T182" s="26" t="s">
        <v>60</v>
      </c>
      <c r="U182" s="26" t="s">
        <v>233</v>
      </c>
      <c r="V182" s="26" t="s">
        <v>295</v>
      </c>
      <c r="W182" s="26" t="s">
        <v>60</v>
      </c>
      <c r="X182" s="26" t="s">
        <v>60</v>
      </c>
      <c r="Y182" s="26" t="s">
        <v>55</v>
      </c>
      <c r="Z182" s="26" t="s">
        <v>56</v>
      </c>
      <c r="AA182" s="26" t="s">
        <v>169</v>
      </c>
      <c r="AB182" s="26" t="s">
        <v>297</v>
      </c>
      <c r="AC182" s="26" t="s">
        <v>60</v>
      </c>
      <c r="AD182" s="26" t="s">
        <v>60</v>
      </c>
      <c r="AE182" s="26" t="s">
        <v>60</v>
      </c>
      <c r="AF182" s="26" t="s">
        <v>60</v>
      </c>
      <c r="AG182" s="26" t="s">
        <v>60</v>
      </c>
      <c r="AH182" s="26" t="s">
        <v>60</v>
      </c>
      <c r="AI182" t="s">
        <v>60</v>
      </c>
      <c r="AJ182" t="s">
        <v>60</v>
      </c>
      <c r="AK182">
        <v>0</v>
      </c>
      <c r="AL182">
        <v>0</v>
      </c>
      <c r="AM182" s="26" t="s">
        <v>57</v>
      </c>
      <c r="AN182" s="26" t="s">
        <v>58</v>
      </c>
      <c r="AO182" s="26">
        <v>4</v>
      </c>
      <c r="AP182" s="26">
        <v>211.6</v>
      </c>
      <c r="AQ182" t="s">
        <v>133</v>
      </c>
      <c r="AR182" t="s">
        <v>305</v>
      </c>
      <c r="AS182" s="26" t="s">
        <v>60</v>
      </c>
      <c r="AT182" s="26" t="s">
        <v>60</v>
      </c>
      <c r="AU182" s="26" t="s">
        <v>60</v>
      </c>
      <c r="AV182" s="26" t="s">
        <v>59</v>
      </c>
      <c r="AW182" s="26" t="s">
        <v>318</v>
      </c>
      <c r="AX182" s="26" t="s">
        <v>318</v>
      </c>
      <c r="AY182" s="26" t="s">
        <v>545</v>
      </c>
      <c r="AZ182" s="26" t="s">
        <v>396</v>
      </c>
      <c r="BA182" s="26" t="s">
        <v>544</v>
      </c>
      <c r="BB182" s="26" t="s">
        <v>191</v>
      </c>
      <c r="BC182" s="26" t="s">
        <v>60</v>
      </c>
      <c r="BD182" s="26" t="s">
        <v>60</v>
      </c>
      <c r="BE182" s="26" t="s">
        <v>304</v>
      </c>
      <c r="BF182" s="26" t="s">
        <v>239</v>
      </c>
      <c r="BG182" s="26" t="s">
        <v>559</v>
      </c>
      <c r="BH182" s="26" t="s">
        <v>60</v>
      </c>
      <c r="BI182" s="26" t="s">
        <v>60</v>
      </c>
      <c r="BJ182" s="26" t="s">
        <v>60</v>
      </c>
      <c r="BK182" s="26" t="s">
        <v>60</v>
      </c>
      <c r="BL182" s="26" t="s">
        <v>194</v>
      </c>
      <c r="BM182" s="6">
        <v>45207</v>
      </c>
      <c r="BN182" s="26" t="s">
        <v>138</v>
      </c>
      <c r="BO182" s="26" t="s">
        <v>139</v>
      </c>
      <c r="BP182" s="26" t="s">
        <v>75</v>
      </c>
      <c r="BQ182">
        <v>126.68</v>
      </c>
      <c r="BR182">
        <v>219.58</v>
      </c>
      <c r="BS182">
        <v>187.9</v>
      </c>
      <c r="BT182">
        <v>295.27999999999997</v>
      </c>
      <c r="BU182">
        <v>14.07</v>
      </c>
      <c r="BV182">
        <v>35.43</v>
      </c>
      <c r="BW182">
        <v>8.34</v>
      </c>
      <c r="BX182" s="26">
        <v>0</v>
      </c>
      <c r="BY182" s="26">
        <v>0</v>
      </c>
      <c r="BZ182">
        <v>9.5500000000000007</v>
      </c>
      <c r="CA182">
        <v>73.33</v>
      </c>
      <c r="CB182">
        <v>0</v>
      </c>
    </row>
    <row r="183" spans="1:80" x14ac:dyDescent="0.25">
      <c r="A183" s="26">
        <v>161</v>
      </c>
      <c r="B183" s="26" t="s">
        <v>134</v>
      </c>
      <c r="C183" s="26" t="s">
        <v>8</v>
      </c>
      <c r="D183" s="26" t="s">
        <v>25</v>
      </c>
      <c r="E183" s="1">
        <v>1</v>
      </c>
      <c r="F183" s="5">
        <v>52.9</v>
      </c>
      <c r="G183" s="1">
        <v>52.9</v>
      </c>
      <c r="H183" s="1">
        <v>73.33</v>
      </c>
      <c r="I183" s="1">
        <v>73.33</v>
      </c>
      <c r="J183" s="1">
        <v>20.43</v>
      </c>
      <c r="K183" s="5" t="s">
        <v>60</v>
      </c>
      <c r="L183" s="26" t="s">
        <v>60</v>
      </c>
      <c r="M183" s="26" t="s">
        <v>60</v>
      </c>
      <c r="N183" s="26" t="s">
        <v>60</v>
      </c>
      <c r="O183" s="26" t="s">
        <v>60</v>
      </c>
      <c r="P183" s="26" t="s">
        <v>60</v>
      </c>
      <c r="Q183" s="26" t="s">
        <v>60</v>
      </c>
      <c r="R183" s="26" t="s">
        <v>60</v>
      </c>
      <c r="S183" s="26" t="s">
        <v>90</v>
      </c>
      <c r="T183" s="26" t="s">
        <v>441</v>
      </c>
      <c r="U183" s="26" t="s">
        <v>60</v>
      </c>
      <c r="V183" s="26" t="s">
        <v>60</v>
      </c>
      <c r="W183" s="26" t="s">
        <v>60</v>
      </c>
      <c r="X183" s="26" t="s">
        <v>60</v>
      </c>
      <c r="Y183" s="26" t="s">
        <v>55</v>
      </c>
      <c r="Z183" s="26" t="s">
        <v>56</v>
      </c>
      <c r="AA183" s="26" t="s">
        <v>60</v>
      </c>
      <c r="AB183" s="26" t="s">
        <v>60</v>
      </c>
      <c r="AC183" s="26" t="s">
        <v>60</v>
      </c>
      <c r="AD183" s="26" t="s">
        <v>60</v>
      </c>
      <c r="AE183" s="26" t="s">
        <v>60</v>
      </c>
      <c r="AF183" s="26" t="s">
        <v>60</v>
      </c>
      <c r="AG183" s="26" t="s">
        <v>60</v>
      </c>
      <c r="AH183" s="26" t="s">
        <v>60</v>
      </c>
      <c r="AI183" t="s">
        <v>60</v>
      </c>
      <c r="AJ183" t="s">
        <v>60</v>
      </c>
      <c r="AK183">
        <v>0</v>
      </c>
      <c r="AL183">
        <v>0</v>
      </c>
      <c r="AM183" s="26" t="s">
        <v>57</v>
      </c>
      <c r="AN183" s="26" t="s">
        <v>58</v>
      </c>
      <c r="AO183" s="26">
        <v>1</v>
      </c>
      <c r="AP183" s="26">
        <v>52.9</v>
      </c>
      <c r="AQ183" t="s">
        <v>60</v>
      </c>
      <c r="AR183" t="s">
        <v>60</v>
      </c>
      <c r="AS183" s="26" t="s">
        <v>60</v>
      </c>
      <c r="AT183" s="26" t="s">
        <v>60</v>
      </c>
      <c r="AU183" s="26" t="s">
        <v>60</v>
      </c>
      <c r="AV183" s="26" t="s">
        <v>59</v>
      </c>
      <c r="AW183" s="26" t="s">
        <v>569</v>
      </c>
      <c r="AX183" s="26" t="s">
        <v>569</v>
      </c>
      <c r="AY183" s="26" t="s">
        <v>571</v>
      </c>
      <c r="AZ183" s="26" t="s">
        <v>572</v>
      </c>
      <c r="BA183" s="26" t="s">
        <v>570</v>
      </c>
      <c r="BB183" s="26" t="s">
        <v>60</v>
      </c>
      <c r="BC183" s="26" t="s">
        <v>60</v>
      </c>
      <c r="BD183" s="26" t="s">
        <v>60</v>
      </c>
      <c r="BE183" s="26" t="s">
        <v>304</v>
      </c>
      <c r="BF183" s="26" t="s">
        <v>239</v>
      </c>
      <c r="BG183" s="26" t="s">
        <v>559</v>
      </c>
      <c r="BH183" s="26" t="s">
        <v>60</v>
      </c>
      <c r="BI183" s="26" t="s">
        <v>60</v>
      </c>
      <c r="BJ183" s="26" t="s">
        <v>60</v>
      </c>
      <c r="BK183" s="26" t="s">
        <v>60</v>
      </c>
      <c r="BL183" s="26" t="s">
        <v>60</v>
      </c>
      <c r="BM183" s="6">
        <v>45207</v>
      </c>
      <c r="BN183" s="26" t="s">
        <v>138</v>
      </c>
      <c r="BO183" s="26" t="s">
        <v>139</v>
      </c>
      <c r="BP183" s="26" t="s">
        <v>75</v>
      </c>
      <c r="BQ183">
        <v>126.68</v>
      </c>
      <c r="BR183">
        <v>219.58</v>
      </c>
      <c r="BS183">
        <v>187.9</v>
      </c>
      <c r="BT183">
        <v>295.27999999999997</v>
      </c>
      <c r="BU183">
        <v>14.07</v>
      </c>
      <c r="BV183">
        <v>35.43</v>
      </c>
      <c r="BW183">
        <v>8.34</v>
      </c>
      <c r="BX183" s="26">
        <v>0</v>
      </c>
      <c r="BY183" s="26">
        <v>0</v>
      </c>
      <c r="BZ183">
        <v>9.5500000000000007</v>
      </c>
      <c r="CA183">
        <v>73.33</v>
      </c>
      <c r="CB183">
        <v>0</v>
      </c>
    </row>
    <row r="184" spans="1:80" x14ac:dyDescent="0.25">
      <c r="A184" s="26">
        <v>794</v>
      </c>
      <c r="B184" s="26" t="s">
        <v>324</v>
      </c>
      <c r="C184" s="26" t="s">
        <v>325</v>
      </c>
      <c r="D184" s="26" t="s">
        <v>18</v>
      </c>
      <c r="E184" s="1">
        <v>8</v>
      </c>
      <c r="F184" s="5">
        <v>84.4</v>
      </c>
      <c r="G184" s="1">
        <v>675.2</v>
      </c>
      <c r="H184" s="1">
        <v>123.63</v>
      </c>
      <c r="I184" s="1">
        <v>989.04</v>
      </c>
      <c r="J184" s="1">
        <v>313.83999999999992</v>
      </c>
      <c r="K184" s="5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M184" s="26"/>
      <c r="AN184" s="26"/>
      <c r="AO184" s="26"/>
      <c r="AP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6">
        <v>45202</v>
      </c>
      <c r="BN184" s="26" t="s">
        <v>45</v>
      </c>
      <c r="BO184" s="26" t="s">
        <v>172</v>
      </c>
      <c r="BP184" s="26" t="s">
        <v>28</v>
      </c>
      <c r="BQ184">
        <v>123.63</v>
      </c>
      <c r="BR184">
        <v>237.48</v>
      </c>
      <c r="BS184">
        <v>206.93</v>
      </c>
      <c r="BT184">
        <v>299.92</v>
      </c>
      <c r="BU184">
        <v>9.81</v>
      </c>
      <c r="BV184">
        <v>38.76</v>
      </c>
      <c r="BW184">
        <v>7.67</v>
      </c>
      <c r="BX184" s="26">
        <v>0</v>
      </c>
      <c r="BY184" s="26">
        <v>0</v>
      </c>
      <c r="BZ184">
        <v>8.7899999999999991</v>
      </c>
      <c r="CA184">
        <v>68.58</v>
      </c>
      <c r="CB184">
        <v>2.79</v>
      </c>
    </row>
    <row r="185" spans="1:80" x14ac:dyDescent="0.25">
      <c r="A185" s="26">
        <v>794</v>
      </c>
      <c r="B185" s="26" t="s">
        <v>324</v>
      </c>
      <c r="C185" s="26" t="s">
        <v>325</v>
      </c>
      <c r="D185" s="26" t="s">
        <v>19</v>
      </c>
      <c r="E185" s="1">
        <v>4</v>
      </c>
      <c r="F185" s="5">
        <v>168.8</v>
      </c>
      <c r="G185" s="1">
        <v>675.2</v>
      </c>
      <c r="H185" s="1">
        <v>206.93</v>
      </c>
      <c r="I185" s="1">
        <v>827.72</v>
      </c>
      <c r="J185" s="1">
        <v>152.51999999999998</v>
      </c>
      <c r="K185" s="5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M185" s="26"/>
      <c r="AN185" s="26"/>
      <c r="AO185" s="26"/>
      <c r="AP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6">
        <v>45202</v>
      </c>
      <c r="BN185" s="26" t="s">
        <v>45</v>
      </c>
      <c r="BO185" s="26" t="s">
        <v>172</v>
      </c>
      <c r="BP185" s="26" t="s">
        <v>28</v>
      </c>
      <c r="BQ185">
        <v>123.63</v>
      </c>
      <c r="BR185">
        <v>237.48</v>
      </c>
      <c r="BS185">
        <v>206.93</v>
      </c>
      <c r="BT185">
        <v>299.92</v>
      </c>
      <c r="BU185">
        <v>9.81</v>
      </c>
      <c r="BV185">
        <v>38.76</v>
      </c>
      <c r="BW185">
        <v>7.67</v>
      </c>
      <c r="BX185" s="26">
        <v>0</v>
      </c>
      <c r="BY185" s="26">
        <v>0</v>
      </c>
      <c r="BZ185">
        <v>8.7899999999999991</v>
      </c>
      <c r="CA185">
        <v>68.58</v>
      </c>
      <c r="CB185">
        <v>2.79</v>
      </c>
    </row>
    <row r="186" spans="1:80" x14ac:dyDescent="0.25">
      <c r="A186" s="26">
        <v>794</v>
      </c>
      <c r="B186" s="26" t="s">
        <v>324</v>
      </c>
      <c r="C186" s="26" t="s">
        <v>325</v>
      </c>
      <c r="D186" s="26" t="s">
        <v>18</v>
      </c>
      <c r="E186" s="1">
        <v>8</v>
      </c>
      <c r="F186" s="5">
        <v>84.4</v>
      </c>
      <c r="G186" s="1">
        <v>675.2</v>
      </c>
      <c r="H186" s="1">
        <v>123.63</v>
      </c>
      <c r="I186" s="1">
        <v>989.04</v>
      </c>
      <c r="J186" s="1">
        <v>313.83999999999992</v>
      </c>
      <c r="K186" s="5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M186" s="26"/>
      <c r="AN186" s="26"/>
      <c r="AO186" s="26"/>
      <c r="AP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6">
        <v>45203</v>
      </c>
      <c r="BN186" s="26" t="s">
        <v>45</v>
      </c>
      <c r="BO186" s="26" t="s">
        <v>172</v>
      </c>
      <c r="BP186" s="26" t="s">
        <v>28</v>
      </c>
      <c r="BQ186">
        <v>123.63</v>
      </c>
      <c r="BR186">
        <v>237.48</v>
      </c>
      <c r="BS186">
        <v>206.93</v>
      </c>
      <c r="BT186">
        <v>299.92</v>
      </c>
      <c r="BU186">
        <v>9.81</v>
      </c>
      <c r="BV186">
        <v>38.76</v>
      </c>
      <c r="BW186">
        <v>7.67</v>
      </c>
      <c r="BX186" s="26">
        <v>0</v>
      </c>
      <c r="BY186" s="26">
        <v>0</v>
      </c>
      <c r="BZ186">
        <v>8.7899999999999991</v>
      </c>
      <c r="CA186">
        <v>68.58</v>
      </c>
      <c r="CB186">
        <v>2.79</v>
      </c>
    </row>
    <row r="187" spans="1:80" x14ac:dyDescent="0.25">
      <c r="A187" s="26">
        <v>794</v>
      </c>
      <c r="B187" s="26" t="s">
        <v>324</v>
      </c>
      <c r="C187" s="26" t="s">
        <v>325</v>
      </c>
      <c r="D187" s="26" t="s">
        <v>19</v>
      </c>
      <c r="E187" s="1">
        <v>4</v>
      </c>
      <c r="F187" s="5">
        <v>168.8</v>
      </c>
      <c r="G187" s="1">
        <v>675.2</v>
      </c>
      <c r="H187" s="1">
        <v>206.93</v>
      </c>
      <c r="I187" s="1">
        <v>827.72</v>
      </c>
      <c r="J187" s="1">
        <v>152.51999999999998</v>
      </c>
      <c r="K187" s="5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M187" s="26"/>
      <c r="AN187" s="26"/>
      <c r="AO187" s="26"/>
      <c r="AP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6">
        <v>45203</v>
      </c>
      <c r="BN187" s="26" t="s">
        <v>45</v>
      </c>
      <c r="BO187" s="26" t="s">
        <v>172</v>
      </c>
      <c r="BP187" s="26" t="s">
        <v>28</v>
      </c>
      <c r="BQ187">
        <v>123.63</v>
      </c>
      <c r="BR187">
        <v>237.48</v>
      </c>
      <c r="BS187">
        <v>206.93</v>
      </c>
      <c r="BT187">
        <v>299.92</v>
      </c>
      <c r="BU187">
        <v>9.81</v>
      </c>
      <c r="BV187">
        <v>38.76</v>
      </c>
      <c r="BW187">
        <v>7.67</v>
      </c>
      <c r="BX187" s="26">
        <v>0</v>
      </c>
      <c r="BY187" s="26">
        <v>0</v>
      </c>
      <c r="BZ187">
        <v>8.7899999999999991</v>
      </c>
      <c r="CA187">
        <v>68.58</v>
      </c>
      <c r="CB187">
        <v>2.79</v>
      </c>
    </row>
    <row r="188" spans="1:80" x14ac:dyDescent="0.25">
      <c r="A188" s="26">
        <v>794</v>
      </c>
      <c r="B188" s="26" t="s">
        <v>324</v>
      </c>
      <c r="C188" s="26" t="s">
        <v>325</v>
      </c>
      <c r="D188" s="26" t="s">
        <v>18</v>
      </c>
      <c r="E188" s="1">
        <v>8</v>
      </c>
      <c r="F188" s="5">
        <v>84.4</v>
      </c>
      <c r="G188" s="1">
        <v>675.2</v>
      </c>
      <c r="H188" s="1">
        <v>123.63</v>
      </c>
      <c r="I188" s="1">
        <v>989.04</v>
      </c>
      <c r="J188" s="1">
        <v>313.83999999999992</v>
      </c>
      <c r="K188" s="5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M188" s="26"/>
      <c r="AN188" s="26"/>
      <c r="AO188" s="26"/>
      <c r="AP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6">
        <v>45204</v>
      </c>
      <c r="BN188" s="26" t="s">
        <v>45</v>
      </c>
      <c r="BO188" s="26" t="s">
        <v>172</v>
      </c>
      <c r="BP188" s="26" t="s">
        <v>28</v>
      </c>
      <c r="BQ188">
        <v>123.63</v>
      </c>
      <c r="BR188">
        <v>237.48</v>
      </c>
      <c r="BS188">
        <v>206.93</v>
      </c>
      <c r="BT188">
        <v>299.92</v>
      </c>
      <c r="BU188">
        <v>9.81</v>
      </c>
      <c r="BV188">
        <v>38.76</v>
      </c>
      <c r="BW188">
        <v>7.67</v>
      </c>
      <c r="BX188" s="26">
        <v>0</v>
      </c>
      <c r="BY188" s="26">
        <v>0</v>
      </c>
      <c r="BZ188">
        <v>8.7899999999999991</v>
      </c>
      <c r="CA188">
        <v>68.58</v>
      </c>
      <c r="CB188">
        <v>2.79</v>
      </c>
    </row>
    <row r="189" spans="1:80" x14ac:dyDescent="0.25">
      <c r="A189" s="26">
        <v>794</v>
      </c>
      <c r="B189" s="26" t="s">
        <v>324</v>
      </c>
      <c r="C189" s="26" t="s">
        <v>325</v>
      </c>
      <c r="D189" s="26" t="s">
        <v>19</v>
      </c>
      <c r="E189" s="1">
        <v>4</v>
      </c>
      <c r="F189" s="5">
        <v>168.8</v>
      </c>
      <c r="G189" s="1">
        <v>675.2</v>
      </c>
      <c r="H189" s="1">
        <v>206.93</v>
      </c>
      <c r="I189" s="1">
        <v>827.72</v>
      </c>
      <c r="J189" s="1">
        <v>152.51999999999998</v>
      </c>
      <c r="K189" s="5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M189" s="26"/>
      <c r="AN189" s="26"/>
      <c r="AO189" s="26"/>
      <c r="AP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6">
        <v>45204</v>
      </c>
      <c r="BN189" s="26" t="s">
        <v>45</v>
      </c>
      <c r="BO189" s="26" t="s">
        <v>172</v>
      </c>
      <c r="BP189" s="26" t="s">
        <v>28</v>
      </c>
      <c r="BQ189">
        <v>123.63</v>
      </c>
      <c r="BR189">
        <v>237.48</v>
      </c>
      <c r="BS189">
        <v>206.93</v>
      </c>
      <c r="BT189">
        <v>299.92</v>
      </c>
      <c r="BU189">
        <v>9.81</v>
      </c>
      <c r="BV189">
        <v>38.76</v>
      </c>
      <c r="BW189">
        <v>7.67</v>
      </c>
      <c r="BX189" s="26">
        <v>0</v>
      </c>
      <c r="BY189" s="26">
        <v>0</v>
      </c>
      <c r="BZ189">
        <v>8.7899999999999991</v>
      </c>
      <c r="CA189">
        <v>68.58</v>
      </c>
      <c r="CB189">
        <v>2.79</v>
      </c>
    </row>
    <row r="190" spans="1:80" x14ac:dyDescent="0.25">
      <c r="A190" s="26">
        <v>794</v>
      </c>
      <c r="B190" s="26" t="s">
        <v>324</v>
      </c>
      <c r="C190" s="26" t="s">
        <v>325</v>
      </c>
      <c r="D190" s="26" t="s">
        <v>18</v>
      </c>
      <c r="E190" s="1">
        <v>8</v>
      </c>
      <c r="F190" s="5">
        <v>84.4</v>
      </c>
      <c r="G190" s="1">
        <v>675.2</v>
      </c>
      <c r="H190" s="1">
        <v>123.63</v>
      </c>
      <c r="I190" s="1">
        <v>989.04</v>
      </c>
      <c r="J190" s="1">
        <v>313.83999999999992</v>
      </c>
      <c r="K190" s="5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M190" s="26"/>
      <c r="AN190" s="26"/>
      <c r="AO190" s="26"/>
      <c r="AP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6">
        <v>45205</v>
      </c>
      <c r="BN190" s="26" t="s">
        <v>45</v>
      </c>
      <c r="BO190" s="26" t="s">
        <v>172</v>
      </c>
      <c r="BP190" s="26" t="s">
        <v>28</v>
      </c>
      <c r="BQ190">
        <v>123.63</v>
      </c>
      <c r="BR190">
        <v>237.48</v>
      </c>
      <c r="BS190">
        <v>206.93</v>
      </c>
      <c r="BT190">
        <v>299.92</v>
      </c>
      <c r="BU190">
        <v>9.81</v>
      </c>
      <c r="BV190">
        <v>38.76</v>
      </c>
      <c r="BW190">
        <v>7.67</v>
      </c>
      <c r="BX190" s="26">
        <v>0</v>
      </c>
      <c r="BY190" s="26">
        <v>0</v>
      </c>
      <c r="BZ190">
        <v>8.7899999999999991</v>
      </c>
      <c r="CA190">
        <v>68.58</v>
      </c>
      <c r="CB190">
        <v>2.79</v>
      </c>
    </row>
    <row r="191" spans="1:80" x14ac:dyDescent="0.25">
      <c r="A191" s="26">
        <v>794</v>
      </c>
      <c r="B191" s="26" t="s">
        <v>324</v>
      </c>
      <c r="C191" s="26" t="s">
        <v>325</v>
      </c>
      <c r="D191" s="26" t="s">
        <v>19</v>
      </c>
      <c r="E191" s="1">
        <v>4</v>
      </c>
      <c r="F191" s="5">
        <v>168.8</v>
      </c>
      <c r="G191" s="1">
        <v>675.2</v>
      </c>
      <c r="H191" s="1">
        <v>206.93</v>
      </c>
      <c r="I191" s="1">
        <v>827.72</v>
      </c>
      <c r="J191" s="1">
        <v>152.51999999999998</v>
      </c>
      <c r="K191" s="5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M191" s="26"/>
      <c r="AN191" s="26"/>
      <c r="AO191" s="26"/>
      <c r="AP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6">
        <v>45205</v>
      </c>
      <c r="BN191" s="26" t="s">
        <v>45</v>
      </c>
      <c r="BO191" s="26" t="s">
        <v>172</v>
      </c>
      <c r="BP191" s="26" t="s">
        <v>28</v>
      </c>
      <c r="BQ191">
        <v>123.63</v>
      </c>
      <c r="BR191">
        <v>237.48</v>
      </c>
      <c r="BS191">
        <v>206.93</v>
      </c>
      <c r="BT191">
        <v>299.92</v>
      </c>
      <c r="BU191">
        <v>9.81</v>
      </c>
      <c r="BV191">
        <v>38.76</v>
      </c>
      <c r="BW191">
        <v>7.67</v>
      </c>
      <c r="BX191" s="26">
        <v>0</v>
      </c>
      <c r="BY191" s="26">
        <v>0</v>
      </c>
      <c r="BZ191">
        <v>8.7899999999999991</v>
      </c>
      <c r="CA191">
        <v>68.58</v>
      </c>
      <c r="CB191">
        <v>2.79</v>
      </c>
    </row>
    <row r="192" spans="1:80" x14ac:dyDescent="0.25">
      <c r="A192" s="26">
        <v>794</v>
      </c>
      <c r="B192" s="26" t="s">
        <v>324</v>
      </c>
      <c r="C192" s="26" t="s">
        <v>325</v>
      </c>
      <c r="D192" s="26" t="s">
        <v>19</v>
      </c>
      <c r="E192" s="1">
        <v>8</v>
      </c>
      <c r="F192" s="5">
        <v>168.8</v>
      </c>
      <c r="G192" s="1">
        <v>1350.4</v>
      </c>
      <c r="H192" s="1">
        <v>206.93</v>
      </c>
      <c r="I192" s="1">
        <v>1655.44</v>
      </c>
      <c r="J192" s="1">
        <v>305.03999999999996</v>
      </c>
      <c r="K192" s="5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M192" s="26"/>
      <c r="AN192" s="26"/>
      <c r="AO192" s="26"/>
      <c r="AP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6">
        <v>45206</v>
      </c>
      <c r="BN192" s="26" t="s">
        <v>45</v>
      </c>
      <c r="BO192" s="26" t="s">
        <v>172</v>
      </c>
      <c r="BP192" s="26" t="s">
        <v>28</v>
      </c>
      <c r="BQ192">
        <v>123.63</v>
      </c>
      <c r="BR192">
        <v>237.48</v>
      </c>
      <c r="BS192">
        <v>206.93</v>
      </c>
      <c r="BT192">
        <v>299.92</v>
      </c>
      <c r="BU192">
        <v>9.81</v>
      </c>
      <c r="BV192">
        <v>38.76</v>
      </c>
      <c r="BW192">
        <v>7.67</v>
      </c>
      <c r="BX192" s="26">
        <v>0</v>
      </c>
      <c r="BY192" s="26">
        <v>0</v>
      </c>
      <c r="BZ192">
        <v>8.7899999999999991</v>
      </c>
      <c r="CA192">
        <v>68.58</v>
      </c>
      <c r="CB192">
        <v>2.79</v>
      </c>
    </row>
    <row r="193" spans="1:80" x14ac:dyDescent="0.25">
      <c r="A193" s="26">
        <v>794</v>
      </c>
      <c r="B193" s="26" t="s">
        <v>391</v>
      </c>
      <c r="C193" s="26" t="s">
        <v>325</v>
      </c>
      <c r="D193" s="26" t="s">
        <v>22</v>
      </c>
      <c r="E193" s="1">
        <v>56</v>
      </c>
      <c r="F193" s="5">
        <v>7.7</v>
      </c>
      <c r="G193" s="1">
        <v>431.2</v>
      </c>
      <c r="H193" s="1">
        <v>9.81</v>
      </c>
      <c r="I193" s="1">
        <v>549.36</v>
      </c>
      <c r="J193" s="1">
        <v>118.16000000000003</v>
      </c>
      <c r="K193" s="5" t="s">
        <v>135</v>
      </c>
      <c r="L193" s="26" t="s">
        <v>326</v>
      </c>
      <c r="M193" s="26" t="s">
        <v>372</v>
      </c>
      <c r="N193" s="26" t="s">
        <v>373</v>
      </c>
      <c r="O193" s="26" t="s">
        <v>60</v>
      </c>
      <c r="P193" s="26" t="s">
        <v>60</v>
      </c>
      <c r="Q193" s="26" t="s">
        <v>60</v>
      </c>
      <c r="R193" s="26" t="s">
        <v>60</v>
      </c>
      <c r="S193" s="26" t="s">
        <v>90</v>
      </c>
      <c r="T193" s="26" t="s">
        <v>327</v>
      </c>
      <c r="U193" s="26" t="s">
        <v>233</v>
      </c>
      <c r="V193" s="26" t="s">
        <v>328</v>
      </c>
      <c r="W193" s="26" t="s">
        <v>60</v>
      </c>
      <c r="X193" s="26" t="s">
        <v>60</v>
      </c>
      <c r="Y193" s="26" t="s">
        <v>55</v>
      </c>
      <c r="Z193" s="26" t="s">
        <v>56</v>
      </c>
      <c r="AA193" s="26" t="s">
        <v>60</v>
      </c>
      <c r="AB193" s="26" t="s">
        <v>60</v>
      </c>
      <c r="AC193" s="26" t="s">
        <v>60</v>
      </c>
      <c r="AD193" s="26" t="s">
        <v>60</v>
      </c>
      <c r="AE193" s="26" t="s">
        <v>60</v>
      </c>
      <c r="AF193" s="26" t="s">
        <v>60</v>
      </c>
      <c r="AG193" s="26" t="s">
        <v>372</v>
      </c>
      <c r="AH193" s="26" t="s">
        <v>458</v>
      </c>
      <c r="AI193" t="s">
        <v>167</v>
      </c>
      <c r="AJ193" t="s">
        <v>459</v>
      </c>
      <c r="AK193" t="s">
        <v>167</v>
      </c>
      <c r="AL193" t="s">
        <v>434</v>
      </c>
      <c r="AM193" s="26" t="s">
        <v>57</v>
      </c>
      <c r="AN193" s="26" t="s">
        <v>58</v>
      </c>
      <c r="AO193" s="26"/>
      <c r="AP193" s="26"/>
      <c r="AS193" s="26"/>
      <c r="AT193" s="26"/>
      <c r="AU193" s="26"/>
      <c r="AV193" s="26" t="s">
        <v>59</v>
      </c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6">
        <v>45207</v>
      </c>
      <c r="BN193" s="26" t="s">
        <v>45</v>
      </c>
      <c r="BO193" s="26" t="s">
        <v>172</v>
      </c>
      <c r="BP193" s="26" t="s">
        <v>28</v>
      </c>
      <c r="BQ193">
        <v>123.63</v>
      </c>
      <c r="BR193">
        <v>237.48</v>
      </c>
      <c r="BS193">
        <v>206.93</v>
      </c>
      <c r="BT193">
        <v>299.92</v>
      </c>
      <c r="BU193">
        <v>9.81</v>
      </c>
      <c r="BV193">
        <v>38.76</v>
      </c>
      <c r="BW193">
        <v>7.67</v>
      </c>
      <c r="BX193" s="26">
        <v>0</v>
      </c>
      <c r="BY193" s="26">
        <v>0</v>
      </c>
      <c r="BZ193">
        <v>8.7899999999999991</v>
      </c>
      <c r="CA193">
        <v>68.58</v>
      </c>
      <c r="CB193">
        <v>2.79</v>
      </c>
    </row>
    <row r="194" spans="1:80" x14ac:dyDescent="0.25">
      <c r="A194" s="26">
        <v>794</v>
      </c>
      <c r="B194" s="26" t="s">
        <v>391</v>
      </c>
      <c r="C194" s="26" t="s">
        <v>325</v>
      </c>
      <c r="D194" s="26" t="s">
        <v>13</v>
      </c>
      <c r="E194" s="1">
        <v>6</v>
      </c>
      <c r="F194" s="5">
        <v>36.089999999999996</v>
      </c>
      <c r="G194" s="1">
        <v>216.54</v>
      </c>
      <c r="H194" s="1">
        <v>38.76</v>
      </c>
      <c r="I194" s="1">
        <v>232.56</v>
      </c>
      <c r="J194" s="1">
        <v>16.02000000000001</v>
      </c>
      <c r="K194" s="5" t="s">
        <v>135</v>
      </c>
      <c r="L194" s="26" t="s">
        <v>326</v>
      </c>
      <c r="M194" s="26" t="s">
        <v>372</v>
      </c>
      <c r="N194" s="26" t="s">
        <v>373</v>
      </c>
      <c r="O194" s="26" t="s">
        <v>60</v>
      </c>
      <c r="P194" s="26" t="s">
        <v>60</v>
      </c>
      <c r="Q194" s="26" t="s">
        <v>60</v>
      </c>
      <c r="R194" s="26" t="s">
        <v>60</v>
      </c>
      <c r="S194" s="26" t="s">
        <v>90</v>
      </c>
      <c r="T194" s="26" t="s">
        <v>327</v>
      </c>
      <c r="U194" s="26" t="s">
        <v>233</v>
      </c>
      <c r="V194" s="26" t="s">
        <v>328</v>
      </c>
      <c r="W194" s="26" t="s">
        <v>60</v>
      </c>
      <c r="X194" s="26" t="s">
        <v>60</v>
      </c>
      <c r="Y194" s="26" t="s">
        <v>55</v>
      </c>
      <c r="Z194" s="26" t="s">
        <v>56</v>
      </c>
      <c r="AA194" s="26" t="s">
        <v>60</v>
      </c>
      <c r="AB194" s="26" t="s">
        <v>60</v>
      </c>
      <c r="AC194" s="26" t="s">
        <v>60</v>
      </c>
      <c r="AD194" s="26" t="s">
        <v>60</v>
      </c>
      <c r="AE194" s="26" t="s">
        <v>60</v>
      </c>
      <c r="AF194" s="26" t="s">
        <v>60</v>
      </c>
      <c r="AG194" s="26" t="s">
        <v>372</v>
      </c>
      <c r="AH194" s="26" t="s">
        <v>458</v>
      </c>
      <c r="AI194">
        <v>6</v>
      </c>
      <c r="AJ194">
        <v>216.54</v>
      </c>
      <c r="AK194" t="s">
        <v>167</v>
      </c>
      <c r="AL194" t="s">
        <v>434</v>
      </c>
      <c r="AM194" s="26" t="s">
        <v>57</v>
      </c>
      <c r="AN194" s="26" t="s">
        <v>58</v>
      </c>
      <c r="AO194" s="26" t="s">
        <v>60</v>
      </c>
      <c r="AP194" s="26" t="s">
        <v>60</v>
      </c>
      <c r="AQ194">
        <v>0</v>
      </c>
      <c r="AR194">
        <v>0</v>
      </c>
      <c r="AS194" s="26" t="s">
        <v>60</v>
      </c>
      <c r="AT194" s="26" t="s">
        <v>60</v>
      </c>
      <c r="AU194" s="26" t="s">
        <v>60</v>
      </c>
      <c r="AV194" s="26" t="s">
        <v>59</v>
      </c>
      <c r="AW194" s="26" t="s">
        <v>546</v>
      </c>
      <c r="AX194" s="26" t="s">
        <v>546</v>
      </c>
      <c r="AY194" s="26" t="s">
        <v>548</v>
      </c>
      <c r="AZ194" s="26" t="s">
        <v>549</v>
      </c>
      <c r="BA194" s="26" t="s">
        <v>547</v>
      </c>
      <c r="BB194" s="26" t="s">
        <v>550</v>
      </c>
      <c r="BC194" s="26"/>
      <c r="BD194" s="26"/>
      <c r="BE194" s="26"/>
      <c r="BF194" s="26"/>
      <c r="BG194" s="26"/>
      <c r="BH194" s="26"/>
      <c r="BI194" s="26"/>
      <c r="BJ194" s="26"/>
      <c r="BK194" s="26"/>
      <c r="BL194" s="26" t="s">
        <v>551</v>
      </c>
      <c r="BM194" s="6">
        <v>45207</v>
      </c>
      <c r="BN194" s="26" t="s">
        <v>45</v>
      </c>
      <c r="BO194" s="26" t="s">
        <v>172</v>
      </c>
      <c r="BP194" s="26" t="s">
        <v>28</v>
      </c>
      <c r="BQ194">
        <v>123.63</v>
      </c>
      <c r="BR194">
        <v>237.48</v>
      </c>
      <c r="BS194">
        <v>206.93</v>
      </c>
      <c r="BT194">
        <v>299.92</v>
      </c>
      <c r="BU194">
        <v>9.81</v>
      </c>
      <c r="BV194">
        <v>38.76</v>
      </c>
      <c r="BW194">
        <v>7.67</v>
      </c>
      <c r="BX194" s="26">
        <v>0</v>
      </c>
      <c r="BY194" s="26">
        <v>0</v>
      </c>
      <c r="BZ194">
        <v>8.7899999999999991</v>
      </c>
      <c r="CA194">
        <v>68.58</v>
      </c>
      <c r="CB194">
        <v>2.79</v>
      </c>
    </row>
    <row r="195" spans="1:80" x14ac:dyDescent="0.25">
      <c r="A195" s="26">
        <v>794</v>
      </c>
      <c r="B195" s="26" t="s">
        <v>391</v>
      </c>
      <c r="C195" s="26" t="s">
        <v>325</v>
      </c>
      <c r="D195" s="26" t="s">
        <v>25</v>
      </c>
      <c r="E195" s="1">
        <v>6</v>
      </c>
      <c r="F195" s="5">
        <v>55</v>
      </c>
      <c r="G195" s="1">
        <v>330</v>
      </c>
      <c r="H195" s="1">
        <v>68.58</v>
      </c>
      <c r="I195" s="1">
        <v>411.48</v>
      </c>
      <c r="J195" s="1">
        <v>81.480000000000018</v>
      </c>
      <c r="K195" s="5" t="s">
        <v>135</v>
      </c>
      <c r="L195" s="26" t="s">
        <v>326</v>
      </c>
      <c r="M195" s="26" t="s">
        <v>372</v>
      </c>
      <c r="N195" s="26" t="s">
        <v>373</v>
      </c>
      <c r="O195" s="26" t="s">
        <v>60</v>
      </c>
      <c r="P195" s="26" t="s">
        <v>60</v>
      </c>
      <c r="Q195" s="26" t="s">
        <v>60</v>
      </c>
      <c r="R195" s="26" t="s">
        <v>60</v>
      </c>
      <c r="S195" s="26" t="s">
        <v>90</v>
      </c>
      <c r="T195" s="26" t="s">
        <v>327</v>
      </c>
      <c r="U195" s="26" t="s">
        <v>233</v>
      </c>
      <c r="V195" s="26" t="s">
        <v>328</v>
      </c>
      <c r="W195" s="26" t="s">
        <v>60</v>
      </c>
      <c r="X195" s="26" t="s">
        <v>60</v>
      </c>
      <c r="Y195" s="26" t="s">
        <v>55</v>
      </c>
      <c r="Z195" s="26" t="s">
        <v>56</v>
      </c>
      <c r="AA195" s="26" t="s">
        <v>60</v>
      </c>
      <c r="AB195" s="26" t="s">
        <v>60</v>
      </c>
      <c r="AC195" s="26" t="s">
        <v>60</v>
      </c>
      <c r="AD195" s="26" t="s">
        <v>60</v>
      </c>
      <c r="AE195" s="26" t="s">
        <v>60</v>
      </c>
      <c r="AF195" s="26" t="s">
        <v>60</v>
      </c>
      <c r="AG195" s="26" t="s">
        <v>372</v>
      </c>
      <c r="AH195" s="26" t="s">
        <v>458</v>
      </c>
      <c r="AI195" t="s">
        <v>167</v>
      </c>
      <c r="AJ195" t="s">
        <v>459</v>
      </c>
      <c r="AK195">
        <v>6</v>
      </c>
      <c r="AL195">
        <v>330</v>
      </c>
      <c r="AM195" s="26" t="s">
        <v>57</v>
      </c>
      <c r="AN195" s="26" t="s">
        <v>58</v>
      </c>
      <c r="AO195" s="26">
        <v>0</v>
      </c>
      <c r="AP195" s="26">
        <v>0</v>
      </c>
      <c r="AQ195" t="s">
        <v>60</v>
      </c>
      <c r="AR195" t="s">
        <v>60</v>
      </c>
      <c r="AS195" s="26" t="s">
        <v>60</v>
      </c>
      <c r="AT195" s="26" t="s">
        <v>60</v>
      </c>
      <c r="AU195" s="26" t="s">
        <v>60</v>
      </c>
      <c r="AV195" s="26" t="s">
        <v>59</v>
      </c>
      <c r="AW195" s="26" t="s">
        <v>546</v>
      </c>
      <c r="AX195" s="26" t="s">
        <v>546</v>
      </c>
      <c r="AY195" s="26" t="s">
        <v>548</v>
      </c>
      <c r="AZ195" s="26" t="s">
        <v>549</v>
      </c>
      <c r="BA195" s="26" t="s">
        <v>547</v>
      </c>
      <c r="BB195" s="26" t="s">
        <v>550</v>
      </c>
      <c r="BC195" s="26" t="s">
        <v>121</v>
      </c>
      <c r="BD195" s="26" t="s">
        <v>573</v>
      </c>
      <c r="BE195" s="26" t="s">
        <v>60</v>
      </c>
      <c r="BF195" s="26" t="s">
        <v>60</v>
      </c>
      <c r="BG195" s="26" t="s">
        <v>60</v>
      </c>
      <c r="BH195" s="26" t="s">
        <v>60</v>
      </c>
      <c r="BI195" s="26" t="s">
        <v>60</v>
      </c>
      <c r="BJ195" s="26" t="s">
        <v>60</v>
      </c>
      <c r="BK195" s="26" t="s">
        <v>60</v>
      </c>
      <c r="BL195" s="26" t="s">
        <v>551</v>
      </c>
      <c r="BM195" s="6">
        <v>45207</v>
      </c>
      <c r="BN195" s="26" t="s">
        <v>45</v>
      </c>
      <c r="BO195" s="26" t="s">
        <v>172</v>
      </c>
      <c r="BP195" s="26" t="s">
        <v>28</v>
      </c>
      <c r="BQ195">
        <v>123.63</v>
      </c>
      <c r="BR195">
        <v>237.48</v>
      </c>
      <c r="BS195">
        <v>206.93</v>
      </c>
      <c r="BT195">
        <v>299.92</v>
      </c>
      <c r="BU195">
        <v>9.81</v>
      </c>
      <c r="BV195">
        <v>38.76</v>
      </c>
      <c r="BW195">
        <v>7.67</v>
      </c>
      <c r="BX195" s="26">
        <v>0</v>
      </c>
      <c r="BY195" s="26">
        <v>0</v>
      </c>
      <c r="BZ195">
        <v>8.7899999999999991</v>
      </c>
      <c r="CA195">
        <v>68.58</v>
      </c>
      <c r="CB195">
        <v>2.79</v>
      </c>
    </row>
    <row r="196" spans="1:80" x14ac:dyDescent="0.25">
      <c r="A196" s="26">
        <v>794</v>
      </c>
      <c r="B196" s="26" t="s">
        <v>391</v>
      </c>
      <c r="C196" s="26" t="s">
        <v>325</v>
      </c>
      <c r="D196" s="26" t="s">
        <v>14</v>
      </c>
      <c r="E196" s="1">
        <v>24</v>
      </c>
      <c r="F196" s="5">
        <v>2.48</v>
      </c>
      <c r="G196" s="1">
        <v>59.52</v>
      </c>
      <c r="H196" s="1">
        <v>2.79</v>
      </c>
      <c r="I196" s="1">
        <v>66.960000000000008</v>
      </c>
      <c r="J196" s="1">
        <v>7.4400000000000048</v>
      </c>
      <c r="K196" s="5" t="s">
        <v>135</v>
      </c>
      <c r="L196" s="26" t="s">
        <v>326</v>
      </c>
      <c r="M196" s="26" t="s">
        <v>372</v>
      </c>
      <c r="N196" s="26" t="s">
        <v>373</v>
      </c>
      <c r="O196" s="26" t="s">
        <v>60</v>
      </c>
      <c r="P196" s="26" t="s">
        <v>60</v>
      </c>
      <c r="Q196" s="26" t="s">
        <v>60</v>
      </c>
      <c r="R196" s="26" t="s">
        <v>60</v>
      </c>
      <c r="S196" s="26" t="s">
        <v>90</v>
      </c>
      <c r="T196" s="26" t="s">
        <v>327</v>
      </c>
      <c r="U196" s="26" t="s">
        <v>233</v>
      </c>
      <c r="V196" s="26" t="s">
        <v>328</v>
      </c>
      <c r="W196" s="26" t="s">
        <v>60</v>
      </c>
      <c r="X196" s="26" t="s">
        <v>60</v>
      </c>
      <c r="Y196" s="26" t="s">
        <v>55</v>
      </c>
      <c r="Z196" s="26" t="s">
        <v>56</v>
      </c>
      <c r="AA196" s="26" t="s">
        <v>60</v>
      </c>
      <c r="AB196" s="26" t="s">
        <v>60</v>
      </c>
      <c r="AC196" s="26" t="s">
        <v>60</v>
      </c>
      <c r="AD196" s="26" t="s">
        <v>60</v>
      </c>
      <c r="AE196" s="26" t="s">
        <v>60</v>
      </c>
      <c r="AF196" s="26" t="s">
        <v>60</v>
      </c>
      <c r="AG196" s="26"/>
      <c r="AH196" s="26"/>
      <c r="AI196" t="s">
        <v>167</v>
      </c>
      <c r="AJ196" t="s">
        <v>459</v>
      </c>
      <c r="AK196" t="s">
        <v>167</v>
      </c>
      <c r="AL196" t="s">
        <v>434</v>
      </c>
      <c r="AM196" s="26" t="s">
        <v>57</v>
      </c>
      <c r="AN196" s="26" t="s">
        <v>58</v>
      </c>
      <c r="AO196" s="26" t="s">
        <v>60</v>
      </c>
      <c r="AP196" s="26" t="s">
        <v>60</v>
      </c>
      <c r="AQ196" t="s">
        <v>60</v>
      </c>
      <c r="AR196" t="s">
        <v>60</v>
      </c>
      <c r="AS196" s="26"/>
      <c r="AT196" s="26"/>
      <c r="AU196" s="26"/>
      <c r="AV196" s="26" t="s">
        <v>59</v>
      </c>
      <c r="AW196" s="26"/>
      <c r="AX196" s="26"/>
      <c r="AY196" s="26"/>
      <c r="AZ196" s="26"/>
      <c r="BA196" s="26"/>
      <c r="BB196" s="26" t="s">
        <v>550</v>
      </c>
      <c r="BC196" s="26"/>
      <c r="BD196" s="26"/>
      <c r="BE196" s="26"/>
      <c r="BF196" s="26"/>
      <c r="BG196" s="26"/>
      <c r="BH196" s="26"/>
      <c r="BI196" s="26"/>
      <c r="BJ196" s="26"/>
      <c r="BK196" s="26"/>
      <c r="BL196" s="26" t="s">
        <v>551</v>
      </c>
      <c r="BM196" s="6">
        <v>45207</v>
      </c>
      <c r="BN196" s="26" t="s">
        <v>45</v>
      </c>
      <c r="BO196" s="26" t="s">
        <v>172</v>
      </c>
      <c r="BP196" s="26" t="s">
        <v>28</v>
      </c>
      <c r="BQ196">
        <v>123.63</v>
      </c>
      <c r="BR196">
        <v>237.48</v>
      </c>
      <c r="BS196">
        <v>206.93</v>
      </c>
      <c r="BT196">
        <v>299.92</v>
      </c>
      <c r="BU196">
        <v>9.81</v>
      </c>
      <c r="BV196">
        <v>38.76</v>
      </c>
      <c r="BW196">
        <v>7.67</v>
      </c>
      <c r="BX196" s="26">
        <v>0</v>
      </c>
      <c r="BY196" s="26">
        <v>0</v>
      </c>
      <c r="BZ196">
        <v>8.7899999999999991</v>
      </c>
      <c r="CA196">
        <v>68.58</v>
      </c>
      <c r="CB196">
        <v>2.79</v>
      </c>
    </row>
    <row r="197" spans="1:80" x14ac:dyDescent="0.25">
      <c r="A197" s="26">
        <v>667</v>
      </c>
      <c r="B197" s="26" t="s">
        <v>160</v>
      </c>
      <c r="C197" s="26" t="s">
        <v>348</v>
      </c>
      <c r="D197" s="26" t="s">
        <v>19</v>
      </c>
      <c r="E197" s="1">
        <v>4</v>
      </c>
      <c r="F197" s="5">
        <v>168.8</v>
      </c>
      <c r="G197" s="1">
        <v>675.2</v>
      </c>
      <c r="H197" s="1">
        <v>206.93</v>
      </c>
      <c r="I197" s="1">
        <v>827.72</v>
      </c>
      <c r="J197" s="1">
        <v>152.51999999999998</v>
      </c>
      <c r="K197" s="5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M197" s="26"/>
      <c r="AN197" s="26"/>
      <c r="AO197" s="26"/>
      <c r="AP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6">
        <v>45202</v>
      </c>
      <c r="BN197" s="26" t="s">
        <v>45</v>
      </c>
      <c r="BO197" s="26" t="s">
        <v>172</v>
      </c>
      <c r="BP197" s="26" t="s">
        <v>28</v>
      </c>
      <c r="BQ197">
        <v>123.63</v>
      </c>
      <c r="BR197">
        <v>237.48</v>
      </c>
      <c r="BS197">
        <v>206.93</v>
      </c>
      <c r="BT197">
        <v>299.92</v>
      </c>
      <c r="BU197">
        <v>9.81</v>
      </c>
      <c r="BV197">
        <v>38.76</v>
      </c>
      <c r="BW197">
        <v>7.67</v>
      </c>
      <c r="BX197" s="26">
        <v>0</v>
      </c>
      <c r="BY197" s="26">
        <v>0</v>
      </c>
      <c r="BZ197">
        <v>8.7899999999999991</v>
      </c>
      <c r="CA197">
        <v>68.58</v>
      </c>
      <c r="CB197">
        <v>2.79</v>
      </c>
    </row>
    <row r="198" spans="1:80" x14ac:dyDescent="0.25">
      <c r="A198" s="26">
        <v>667</v>
      </c>
      <c r="B198" s="26" t="s">
        <v>160</v>
      </c>
      <c r="C198" s="26" t="s">
        <v>348</v>
      </c>
      <c r="D198" s="26" t="s">
        <v>21</v>
      </c>
      <c r="E198" s="1">
        <v>8</v>
      </c>
      <c r="F198" s="5">
        <v>168.8</v>
      </c>
      <c r="G198" s="1">
        <v>1350.4</v>
      </c>
      <c r="H198" s="1">
        <v>237.48</v>
      </c>
      <c r="I198" s="1">
        <v>1899.84</v>
      </c>
      <c r="J198" s="1">
        <v>549.43999999999983</v>
      </c>
      <c r="K198" s="5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M198" s="26"/>
      <c r="AN198" s="26"/>
      <c r="AO198" s="26"/>
      <c r="AP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6">
        <v>45202</v>
      </c>
      <c r="BN198" s="26" t="s">
        <v>45</v>
      </c>
      <c r="BO198" s="26" t="s">
        <v>172</v>
      </c>
      <c r="BP198" s="26" t="s">
        <v>28</v>
      </c>
      <c r="BQ198">
        <v>123.63</v>
      </c>
      <c r="BR198">
        <v>237.48</v>
      </c>
      <c r="BS198">
        <v>206.93</v>
      </c>
      <c r="BT198">
        <v>299.92</v>
      </c>
      <c r="BU198">
        <v>9.81</v>
      </c>
      <c r="BV198">
        <v>38.76</v>
      </c>
      <c r="BW198">
        <v>7.67</v>
      </c>
      <c r="BX198" s="26">
        <v>0</v>
      </c>
      <c r="BY198" s="26">
        <v>0</v>
      </c>
      <c r="BZ198">
        <v>8.7899999999999991</v>
      </c>
      <c r="CA198">
        <v>68.58</v>
      </c>
      <c r="CB198">
        <v>2.79</v>
      </c>
    </row>
    <row r="199" spans="1:80" x14ac:dyDescent="0.25">
      <c r="A199" s="26">
        <v>667</v>
      </c>
      <c r="B199" s="26" t="s">
        <v>160</v>
      </c>
      <c r="C199" s="26" t="s">
        <v>348</v>
      </c>
      <c r="D199" s="26" t="s">
        <v>19</v>
      </c>
      <c r="E199" s="1">
        <v>4</v>
      </c>
      <c r="F199" s="5">
        <v>168.8</v>
      </c>
      <c r="G199" s="1">
        <v>675.2</v>
      </c>
      <c r="H199" s="1">
        <v>206.93</v>
      </c>
      <c r="I199" s="1">
        <v>827.72</v>
      </c>
      <c r="J199" s="1">
        <v>152.51999999999998</v>
      </c>
      <c r="K199" s="5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M199" s="26"/>
      <c r="AN199" s="26"/>
      <c r="AO199" s="26"/>
      <c r="AP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6">
        <v>45203</v>
      </c>
      <c r="BN199" s="26" t="s">
        <v>45</v>
      </c>
      <c r="BO199" s="26" t="s">
        <v>172</v>
      </c>
      <c r="BP199" s="26" t="s">
        <v>28</v>
      </c>
      <c r="BQ199">
        <v>123.63</v>
      </c>
      <c r="BR199">
        <v>237.48</v>
      </c>
      <c r="BS199">
        <v>206.93</v>
      </c>
      <c r="BT199">
        <v>299.92</v>
      </c>
      <c r="BU199">
        <v>9.81</v>
      </c>
      <c r="BV199">
        <v>38.76</v>
      </c>
      <c r="BW199">
        <v>7.67</v>
      </c>
      <c r="BX199" s="26">
        <v>0</v>
      </c>
      <c r="BY199" s="26">
        <v>0</v>
      </c>
      <c r="BZ199">
        <v>8.7899999999999991</v>
      </c>
      <c r="CA199">
        <v>68.58</v>
      </c>
      <c r="CB199">
        <v>2.79</v>
      </c>
    </row>
    <row r="200" spans="1:80" x14ac:dyDescent="0.25">
      <c r="A200" s="26">
        <v>667</v>
      </c>
      <c r="B200" s="26" t="s">
        <v>160</v>
      </c>
      <c r="C200" s="26" t="s">
        <v>348</v>
      </c>
      <c r="D200" s="26" t="s">
        <v>21</v>
      </c>
      <c r="E200" s="1">
        <v>8</v>
      </c>
      <c r="F200" s="5">
        <v>168.8</v>
      </c>
      <c r="G200" s="1">
        <v>1350.4</v>
      </c>
      <c r="H200" s="1">
        <v>237.48</v>
      </c>
      <c r="I200" s="1">
        <v>1899.84</v>
      </c>
      <c r="J200" s="1">
        <v>549.43999999999983</v>
      </c>
      <c r="K200" s="5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M200" s="26"/>
      <c r="AN200" s="26"/>
      <c r="AO200" s="26"/>
      <c r="AP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6">
        <v>45203</v>
      </c>
      <c r="BN200" s="26" t="s">
        <v>45</v>
      </c>
      <c r="BO200" s="26" t="s">
        <v>172</v>
      </c>
      <c r="BP200" s="26" t="s">
        <v>28</v>
      </c>
      <c r="BQ200">
        <v>123.63</v>
      </c>
      <c r="BR200">
        <v>237.48</v>
      </c>
      <c r="BS200">
        <v>206.93</v>
      </c>
      <c r="BT200">
        <v>299.92</v>
      </c>
      <c r="BU200">
        <v>9.81</v>
      </c>
      <c r="BV200">
        <v>38.76</v>
      </c>
      <c r="BW200">
        <v>7.67</v>
      </c>
      <c r="BX200" s="26">
        <v>0</v>
      </c>
      <c r="BY200" s="26">
        <v>0</v>
      </c>
      <c r="BZ200">
        <v>8.7899999999999991</v>
      </c>
      <c r="CA200">
        <v>68.58</v>
      </c>
      <c r="CB200">
        <v>2.79</v>
      </c>
    </row>
    <row r="201" spans="1:80" x14ac:dyDescent="0.25">
      <c r="A201" s="26">
        <v>667</v>
      </c>
      <c r="B201" s="26" t="s">
        <v>160</v>
      </c>
      <c r="C201" s="26" t="s">
        <v>348</v>
      </c>
      <c r="D201" s="26" t="s">
        <v>19</v>
      </c>
      <c r="E201" s="1">
        <v>4</v>
      </c>
      <c r="F201" s="5">
        <v>168.8</v>
      </c>
      <c r="G201" s="1">
        <v>675.2</v>
      </c>
      <c r="H201" s="1">
        <v>206.93</v>
      </c>
      <c r="I201" s="1">
        <v>827.72</v>
      </c>
      <c r="J201" s="1">
        <v>152.51999999999998</v>
      </c>
      <c r="K201" s="5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M201" s="26"/>
      <c r="AN201" s="26"/>
      <c r="AO201" s="26"/>
      <c r="AP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6">
        <v>45204</v>
      </c>
      <c r="BN201" s="26" t="s">
        <v>45</v>
      </c>
      <c r="BO201" s="26" t="s">
        <v>172</v>
      </c>
      <c r="BP201" s="26" t="s">
        <v>28</v>
      </c>
      <c r="BQ201">
        <v>123.63</v>
      </c>
      <c r="BR201">
        <v>237.48</v>
      </c>
      <c r="BS201">
        <v>206.93</v>
      </c>
      <c r="BT201">
        <v>299.92</v>
      </c>
      <c r="BU201">
        <v>9.81</v>
      </c>
      <c r="BV201">
        <v>38.76</v>
      </c>
      <c r="BW201">
        <v>7.67</v>
      </c>
      <c r="BX201" s="26">
        <v>0</v>
      </c>
      <c r="BY201" s="26">
        <v>0</v>
      </c>
      <c r="BZ201">
        <v>8.7899999999999991</v>
      </c>
      <c r="CA201">
        <v>68.58</v>
      </c>
      <c r="CB201">
        <v>2.79</v>
      </c>
    </row>
    <row r="202" spans="1:80" x14ac:dyDescent="0.25">
      <c r="A202" s="26">
        <v>667</v>
      </c>
      <c r="B202" s="26" t="s">
        <v>160</v>
      </c>
      <c r="C202" s="26" t="s">
        <v>348</v>
      </c>
      <c r="D202" s="26" t="s">
        <v>21</v>
      </c>
      <c r="E202" s="1">
        <v>8</v>
      </c>
      <c r="F202" s="5">
        <v>168.8</v>
      </c>
      <c r="G202" s="1">
        <v>1350.4</v>
      </c>
      <c r="H202" s="1">
        <v>237.48</v>
      </c>
      <c r="I202" s="1">
        <v>1899.84</v>
      </c>
      <c r="J202" s="1">
        <v>549.43999999999983</v>
      </c>
      <c r="K202" s="5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M202" s="26"/>
      <c r="AN202" s="26"/>
      <c r="AO202" s="26"/>
      <c r="AP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6">
        <v>45204</v>
      </c>
      <c r="BN202" s="26" t="s">
        <v>45</v>
      </c>
      <c r="BO202" s="26" t="s">
        <v>172</v>
      </c>
      <c r="BP202" s="26" t="s">
        <v>28</v>
      </c>
      <c r="BQ202">
        <v>123.63</v>
      </c>
      <c r="BR202">
        <v>237.48</v>
      </c>
      <c r="BS202">
        <v>206.93</v>
      </c>
      <c r="BT202">
        <v>299.92</v>
      </c>
      <c r="BU202">
        <v>9.81</v>
      </c>
      <c r="BV202">
        <v>38.76</v>
      </c>
      <c r="BW202">
        <v>7.67</v>
      </c>
      <c r="BX202" s="26">
        <v>0</v>
      </c>
      <c r="BY202" s="26">
        <v>0</v>
      </c>
      <c r="BZ202">
        <v>8.7899999999999991</v>
      </c>
      <c r="CA202">
        <v>68.58</v>
      </c>
      <c r="CB202">
        <v>2.79</v>
      </c>
    </row>
    <row r="203" spans="1:80" x14ac:dyDescent="0.25">
      <c r="A203" s="26">
        <v>667</v>
      </c>
      <c r="B203" s="26" t="s">
        <v>160</v>
      </c>
      <c r="C203" s="26" t="s">
        <v>348</v>
      </c>
      <c r="D203" s="26" t="s">
        <v>19</v>
      </c>
      <c r="E203" s="1">
        <v>4</v>
      </c>
      <c r="F203" s="5">
        <v>168.8</v>
      </c>
      <c r="G203" s="1">
        <v>675.2</v>
      </c>
      <c r="H203" s="1">
        <v>206.93</v>
      </c>
      <c r="I203" s="1">
        <v>827.72</v>
      </c>
      <c r="J203" s="1">
        <v>152.51999999999998</v>
      </c>
      <c r="K203" s="5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M203" s="26"/>
      <c r="AN203" s="26"/>
      <c r="AO203" s="26"/>
      <c r="AP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6">
        <v>45205</v>
      </c>
      <c r="BN203" s="26" t="s">
        <v>45</v>
      </c>
      <c r="BO203" s="26" t="s">
        <v>172</v>
      </c>
      <c r="BP203" s="26" t="s">
        <v>28</v>
      </c>
      <c r="BQ203">
        <v>123.63</v>
      </c>
      <c r="BR203">
        <v>237.48</v>
      </c>
      <c r="BS203">
        <v>206.93</v>
      </c>
      <c r="BT203">
        <v>299.92</v>
      </c>
      <c r="BU203">
        <v>9.81</v>
      </c>
      <c r="BV203">
        <v>38.76</v>
      </c>
      <c r="BW203">
        <v>7.67</v>
      </c>
      <c r="BX203" s="26">
        <v>0</v>
      </c>
      <c r="BY203" s="26">
        <v>0</v>
      </c>
      <c r="BZ203">
        <v>8.7899999999999991</v>
      </c>
      <c r="CA203">
        <v>68.58</v>
      </c>
      <c r="CB203">
        <v>2.79</v>
      </c>
    </row>
    <row r="204" spans="1:80" x14ac:dyDescent="0.25">
      <c r="A204" s="26">
        <v>667</v>
      </c>
      <c r="B204" s="26" t="s">
        <v>160</v>
      </c>
      <c r="C204" s="26" t="s">
        <v>348</v>
      </c>
      <c r="D204" s="26" t="s">
        <v>21</v>
      </c>
      <c r="E204" s="1">
        <v>8</v>
      </c>
      <c r="F204" s="5">
        <v>168.8</v>
      </c>
      <c r="G204" s="1">
        <v>1350.4</v>
      </c>
      <c r="H204" s="1">
        <v>237.48</v>
      </c>
      <c r="I204" s="1">
        <v>1899.84</v>
      </c>
      <c r="J204" s="1">
        <v>549.43999999999983</v>
      </c>
      <c r="K204" s="5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M204" s="26"/>
      <c r="AN204" s="26"/>
      <c r="AO204" s="26"/>
      <c r="AP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6">
        <v>45205</v>
      </c>
      <c r="BN204" s="26" t="s">
        <v>45</v>
      </c>
      <c r="BO204" s="26" t="s">
        <v>172</v>
      </c>
      <c r="BP204" s="26" t="s">
        <v>28</v>
      </c>
      <c r="BQ204">
        <v>123.63</v>
      </c>
      <c r="BR204">
        <v>237.48</v>
      </c>
      <c r="BS204">
        <v>206.93</v>
      </c>
      <c r="BT204">
        <v>299.92</v>
      </c>
      <c r="BU204">
        <v>9.81</v>
      </c>
      <c r="BV204">
        <v>38.76</v>
      </c>
      <c r="BW204">
        <v>7.67</v>
      </c>
      <c r="BX204" s="26">
        <v>0</v>
      </c>
      <c r="BY204" s="26">
        <v>0</v>
      </c>
      <c r="BZ204">
        <v>8.7899999999999991</v>
      </c>
      <c r="CA204">
        <v>68.58</v>
      </c>
      <c r="CB204">
        <v>2.79</v>
      </c>
    </row>
    <row r="205" spans="1:80" x14ac:dyDescent="0.25">
      <c r="A205" s="26">
        <v>667</v>
      </c>
      <c r="B205" s="26" t="s">
        <v>170</v>
      </c>
      <c r="C205" s="26" t="s">
        <v>348</v>
      </c>
      <c r="D205" s="26" t="s">
        <v>22</v>
      </c>
      <c r="E205" s="1">
        <v>48</v>
      </c>
      <c r="F205" s="5">
        <v>7.7</v>
      </c>
      <c r="G205" s="1">
        <v>369.6</v>
      </c>
      <c r="H205" s="1">
        <v>9.81</v>
      </c>
      <c r="I205" s="1">
        <v>470.88</v>
      </c>
      <c r="J205" s="1">
        <v>101.27999999999997</v>
      </c>
      <c r="K205" s="5" t="s">
        <v>60</v>
      </c>
      <c r="L205" s="26" t="s">
        <v>60</v>
      </c>
      <c r="M205" s="26" t="s">
        <v>169</v>
      </c>
      <c r="N205" s="26" t="s">
        <v>326</v>
      </c>
      <c r="O205" s="26" t="s">
        <v>60</v>
      </c>
      <c r="P205" s="26" t="s">
        <v>60</v>
      </c>
      <c r="Q205" s="26" t="s">
        <v>60</v>
      </c>
      <c r="R205" s="26" t="s">
        <v>60</v>
      </c>
      <c r="S205" s="26" t="s">
        <v>90</v>
      </c>
      <c r="T205" s="26" t="s">
        <v>327</v>
      </c>
      <c r="U205" s="26" t="s">
        <v>233</v>
      </c>
      <c r="V205" s="26" t="s">
        <v>328</v>
      </c>
      <c r="W205" s="26" t="s">
        <v>135</v>
      </c>
      <c r="X205" s="26" t="s">
        <v>332</v>
      </c>
      <c r="Y205" s="26" t="s">
        <v>55</v>
      </c>
      <c r="Z205" s="26" t="s">
        <v>56</v>
      </c>
      <c r="AA205" s="26" t="s">
        <v>60</v>
      </c>
      <c r="AB205" s="26" t="s">
        <v>60</v>
      </c>
      <c r="AC205" s="26" t="s">
        <v>60</v>
      </c>
      <c r="AD205" s="26" t="s">
        <v>60</v>
      </c>
      <c r="AE205" s="26" t="s">
        <v>60</v>
      </c>
      <c r="AF205" s="26" t="s">
        <v>60</v>
      </c>
      <c r="AG205" s="26" t="s">
        <v>169</v>
      </c>
      <c r="AH205" s="26" t="s">
        <v>330</v>
      </c>
      <c r="AI205" t="s">
        <v>133</v>
      </c>
      <c r="AJ205" t="s">
        <v>331</v>
      </c>
      <c r="AK205" t="s">
        <v>431</v>
      </c>
      <c r="AL205" t="s">
        <v>432</v>
      </c>
      <c r="AM205" s="26" t="s">
        <v>57</v>
      </c>
      <c r="AN205" s="26" t="s">
        <v>58</v>
      </c>
      <c r="AO205" s="26"/>
      <c r="AP205" s="26"/>
      <c r="AS205" s="26"/>
      <c r="AT205" s="26"/>
      <c r="AU205" s="26"/>
      <c r="AV205" s="26" t="s">
        <v>59</v>
      </c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6">
        <v>45207</v>
      </c>
      <c r="BN205" s="26" t="s">
        <v>45</v>
      </c>
      <c r="BO205" s="26" t="s">
        <v>172</v>
      </c>
      <c r="BP205" s="26" t="s">
        <v>28</v>
      </c>
      <c r="BQ205">
        <v>123.63</v>
      </c>
      <c r="BR205">
        <v>237.48</v>
      </c>
      <c r="BS205">
        <v>206.93</v>
      </c>
      <c r="BT205">
        <v>299.92</v>
      </c>
      <c r="BU205">
        <v>9.81</v>
      </c>
      <c r="BV205">
        <v>38.76</v>
      </c>
      <c r="BW205">
        <v>7.67</v>
      </c>
      <c r="BX205" s="26">
        <v>0</v>
      </c>
      <c r="BY205" s="26">
        <v>0</v>
      </c>
      <c r="BZ205">
        <v>8.7899999999999991</v>
      </c>
      <c r="CA205">
        <v>68.58</v>
      </c>
      <c r="CB205">
        <v>2.79</v>
      </c>
    </row>
    <row r="206" spans="1:80" x14ac:dyDescent="0.25">
      <c r="A206" s="26">
        <v>667</v>
      </c>
      <c r="B206" s="26" t="s">
        <v>170</v>
      </c>
      <c r="C206" s="26" t="s">
        <v>348</v>
      </c>
      <c r="D206" s="26" t="s">
        <v>13</v>
      </c>
      <c r="E206" s="1">
        <v>4</v>
      </c>
      <c r="F206" s="5">
        <v>36.090000000000003</v>
      </c>
      <c r="G206" s="1">
        <v>144.36000000000001</v>
      </c>
      <c r="H206" s="1">
        <v>38.76</v>
      </c>
      <c r="I206" s="1">
        <v>155.04</v>
      </c>
      <c r="J206" s="1">
        <v>10.679999999999978</v>
      </c>
      <c r="K206" s="5" t="s">
        <v>60</v>
      </c>
      <c r="L206" s="26" t="s">
        <v>60</v>
      </c>
      <c r="M206" s="26" t="s">
        <v>169</v>
      </c>
      <c r="N206" s="26" t="s">
        <v>326</v>
      </c>
      <c r="O206" s="26" t="s">
        <v>60</v>
      </c>
      <c r="P206" s="26" t="s">
        <v>60</v>
      </c>
      <c r="Q206" s="26" t="s">
        <v>60</v>
      </c>
      <c r="R206" s="26" t="s">
        <v>60</v>
      </c>
      <c r="S206" s="26" t="s">
        <v>90</v>
      </c>
      <c r="T206" s="26" t="s">
        <v>327</v>
      </c>
      <c r="U206" s="26" t="s">
        <v>233</v>
      </c>
      <c r="V206" s="26" t="s">
        <v>328</v>
      </c>
      <c r="W206" s="26" t="s">
        <v>135</v>
      </c>
      <c r="X206" s="26" t="s">
        <v>332</v>
      </c>
      <c r="Y206" s="26" t="s">
        <v>55</v>
      </c>
      <c r="Z206" s="26" t="s">
        <v>56</v>
      </c>
      <c r="AA206" s="26" t="s">
        <v>60</v>
      </c>
      <c r="AB206" s="26" t="s">
        <v>60</v>
      </c>
      <c r="AC206" s="26" t="s">
        <v>60</v>
      </c>
      <c r="AD206" s="26" t="s">
        <v>60</v>
      </c>
      <c r="AE206" s="26" t="s">
        <v>60</v>
      </c>
      <c r="AF206" s="26" t="s">
        <v>60</v>
      </c>
      <c r="AG206" s="26" t="s">
        <v>169</v>
      </c>
      <c r="AH206" s="26" t="s">
        <v>330</v>
      </c>
      <c r="AI206">
        <v>4</v>
      </c>
      <c r="AJ206">
        <v>144.36000000000001</v>
      </c>
      <c r="AK206" t="s">
        <v>431</v>
      </c>
      <c r="AL206" t="s">
        <v>432</v>
      </c>
      <c r="AM206" s="26" t="s">
        <v>57</v>
      </c>
      <c r="AN206" s="26" t="s">
        <v>58</v>
      </c>
      <c r="AO206" s="26" t="s">
        <v>60</v>
      </c>
      <c r="AP206" s="26" t="s">
        <v>60</v>
      </c>
      <c r="AQ206">
        <v>0</v>
      </c>
      <c r="AR206">
        <v>0</v>
      </c>
      <c r="AS206" s="26" t="s">
        <v>60</v>
      </c>
      <c r="AT206" s="26" t="s">
        <v>60</v>
      </c>
      <c r="AU206" s="26" t="s">
        <v>60</v>
      </c>
      <c r="AV206" s="26" t="s">
        <v>59</v>
      </c>
      <c r="AW206" s="26" t="s">
        <v>517</v>
      </c>
      <c r="AX206" s="26" t="s">
        <v>517</v>
      </c>
      <c r="AY206" s="26" t="s">
        <v>553</v>
      </c>
      <c r="AZ206" s="26" t="s">
        <v>520</v>
      </c>
      <c r="BA206" s="26" t="s">
        <v>552</v>
      </c>
      <c r="BB206" s="26" t="s">
        <v>191</v>
      </c>
      <c r="BC206" s="26"/>
      <c r="BD206" s="26"/>
      <c r="BE206" s="26"/>
      <c r="BF206" s="26"/>
      <c r="BG206" s="26"/>
      <c r="BH206" s="26"/>
      <c r="BI206" s="26"/>
      <c r="BJ206" s="26"/>
      <c r="BK206" s="26"/>
      <c r="BL206" s="26" t="s">
        <v>335</v>
      </c>
      <c r="BM206" s="6">
        <v>45207</v>
      </c>
      <c r="BN206" s="26" t="s">
        <v>45</v>
      </c>
      <c r="BO206" s="26" t="s">
        <v>172</v>
      </c>
      <c r="BP206" s="26" t="s">
        <v>28</v>
      </c>
      <c r="BQ206">
        <v>123.63</v>
      </c>
      <c r="BR206">
        <v>237.48</v>
      </c>
      <c r="BS206">
        <v>206.93</v>
      </c>
      <c r="BT206">
        <v>299.92</v>
      </c>
      <c r="BU206">
        <v>9.81</v>
      </c>
      <c r="BV206">
        <v>38.76</v>
      </c>
      <c r="BW206">
        <v>7.67</v>
      </c>
      <c r="BX206" s="26">
        <v>0</v>
      </c>
      <c r="BY206" s="26">
        <v>0</v>
      </c>
      <c r="BZ206">
        <v>8.7899999999999991</v>
      </c>
      <c r="CA206">
        <v>68.58</v>
      </c>
      <c r="CB206">
        <v>2.79</v>
      </c>
    </row>
    <row r="207" spans="1:80" x14ac:dyDescent="0.25">
      <c r="A207" s="26">
        <v>667</v>
      </c>
      <c r="B207" s="26" t="s">
        <v>170</v>
      </c>
      <c r="C207" s="26" t="s">
        <v>348</v>
      </c>
      <c r="D207" s="26" t="s">
        <v>25</v>
      </c>
      <c r="E207" s="1">
        <v>5</v>
      </c>
      <c r="F207" s="5">
        <v>55</v>
      </c>
      <c r="G207" s="1">
        <v>275</v>
      </c>
      <c r="H207" s="1">
        <v>68.58</v>
      </c>
      <c r="I207" s="1">
        <v>342.9</v>
      </c>
      <c r="J207" s="1">
        <v>67.899999999999977</v>
      </c>
      <c r="K207" s="5" t="s">
        <v>60</v>
      </c>
      <c r="L207" s="26" t="s">
        <v>60</v>
      </c>
      <c r="M207" s="26" t="s">
        <v>169</v>
      </c>
      <c r="N207" s="26" t="s">
        <v>326</v>
      </c>
      <c r="O207" s="26" t="s">
        <v>60</v>
      </c>
      <c r="P207" s="26" t="s">
        <v>60</v>
      </c>
      <c r="Q207" s="26" t="s">
        <v>60</v>
      </c>
      <c r="R207" s="26" t="s">
        <v>60</v>
      </c>
      <c r="S207" s="26" t="s">
        <v>90</v>
      </c>
      <c r="T207" s="26" t="s">
        <v>327</v>
      </c>
      <c r="U207" s="26" t="s">
        <v>233</v>
      </c>
      <c r="V207" s="26" t="s">
        <v>328</v>
      </c>
      <c r="W207" s="26" t="s">
        <v>135</v>
      </c>
      <c r="X207" s="26" t="s">
        <v>332</v>
      </c>
      <c r="Y207" s="26" t="s">
        <v>55</v>
      </c>
      <c r="Z207" s="26" t="s">
        <v>56</v>
      </c>
      <c r="AA207" s="26" t="s">
        <v>60</v>
      </c>
      <c r="AB207" s="26" t="s">
        <v>60</v>
      </c>
      <c r="AC207" s="26" t="s">
        <v>60</v>
      </c>
      <c r="AD207" s="26" t="s">
        <v>60</v>
      </c>
      <c r="AE207" s="26" t="s">
        <v>60</v>
      </c>
      <c r="AF207" s="26" t="s">
        <v>60</v>
      </c>
      <c r="AG207" s="26" t="s">
        <v>169</v>
      </c>
      <c r="AH207" s="26" t="s">
        <v>330</v>
      </c>
      <c r="AI207" t="s">
        <v>133</v>
      </c>
      <c r="AJ207" t="s">
        <v>331</v>
      </c>
      <c r="AK207">
        <v>5</v>
      </c>
      <c r="AL207">
        <v>275</v>
      </c>
      <c r="AM207" s="26" t="s">
        <v>57</v>
      </c>
      <c r="AN207" s="26" t="s">
        <v>58</v>
      </c>
      <c r="AO207" s="26">
        <v>0</v>
      </c>
      <c r="AP207" s="26">
        <v>0</v>
      </c>
      <c r="AQ207" t="s">
        <v>60</v>
      </c>
      <c r="AR207" t="s">
        <v>60</v>
      </c>
      <c r="AS207" s="26" t="s">
        <v>60</v>
      </c>
      <c r="AT207" s="26" t="s">
        <v>60</v>
      </c>
      <c r="AU207" s="26" t="s">
        <v>60</v>
      </c>
      <c r="AV207" s="26" t="s">
        <v>59</v>
      </c>
      <c r="AW207" s="26" t="s">
        <v>517</v>
      </c>
      <c r="AX207" s="26" t="s">
        <v>517</v>
      </c>
      <c r="AY207" s="26" t="s">
        <v>553</v>
      </c>
      <c r="AZ207" s="26" t="s">
        <v>520</v>
      </c>
      <c r="BA207" s="26" t="s">
        <v>552</v>
      </c>
      <c r="BB207" s="26" t="s">
        <v>191</v>
      </c>
      <c r="BC207" s="26" t="s">
        <v>121</v>
      </c>
      <c r="BD207" s="26" t="s">
        <v>566</v>
      </c>
      <c r="BE207" s="26" t="s">
        <v>60</v>
      </c>
      <c r="BF207" s="26" t="s">
        <v>60</v>
      </c>
      <c r="BG207" s="26" t="s">
        <v>60</v>
      </c>
      <c r="BH207" s="26" t="s">
        <v>60</v>
      </c>
      <c r="BI207" s="26" t="s">
        <v>60</v>
      </c>
      <c r="BJ207" s="26" t="s">
        <v>60</v>
      </c>
      <c r="BK207" s="26" t="s">
        <v>60</v>
      </c>
      <c r="BL207" s="26" t="s">
        <v>335</v>
      </c>
      <c r="BM207" s="6">
        <v>45207</v>
      </c>
      <c r="BN207" s="26" t="s">
        <v>45</v>
      </c>
      <c r="BO207" s="26" t="s">
        <v>172</v>
      </c>
      <c r="BP207" s="26" t="s">
        <v>28</v>
      </c>
      <c r="BQ207">
        <v>123.63</v>
      </c>
      <c r="BR207">
        <v>237.48</v>
      </c>
      <c r="BS207">
        <v>206.93</v>
      </c>
      <c r="BT207">
        <v>299.92</v>
      </c>
      <c r="BU207">
        <v>9.81</v>
      </c>
      <c r="BV207">
        <v>38.76</v>
      </c>
      <c r="BW207">
        <v>7.67</v>
      </c>
      <c r="BX207" s="26">
        <v>0</v>
      </c>
      <c r="BY207" s="26">
        <v>0</v>
      </c>
      <c r="BZ207">
        <v>8.7899999999999991</v>
      </c>
      <c r="CA207">
        <v>68.58</v>
      </c>
      <c r="CB207">
        <v>2.79</v>
      </c>
    </row>
    <row r="208" spans="1:80" x14ac:dyDescent="0.25">
      <c r="A208" s="26">
        <v>667</v>
      </c>
      <c r="B208" s="26" t="s">
        <v>170</v>
      </c>
      <c r="C208" s="26" t="s">
        <v>348</v>
      </c>
      <c r="D208" s="26" t="s">
        <v>14</v>
      </c>
      <c r="E208" s="1">
        <v>16</v>
      </c>
      <c r="F208" s="5">
        <v>2.48</v>
      </c>
      <c r="G208" s="1">
        <v>39.68</v>
      </c>
      <c r="H208" s="1">
        <v>2.79</v>
      </c>
      <c r="I208" s="1">
        <v>44.64</v>
      </c>
      <c r="J208" s="1">
        <v>4.9600000000000009</v>
      </c>
      <c r="K208" s="5" t="s">
        <v>60</v>
      </c>
      <c r="L208" s="26" t="s">
        <v>60</v>
      </c>
      <c r="M208" s="26" t="s">
        <v>169</v>
      </c>
      <c r="N208" s="26" t="s">
        <v>326</v>
      </c>
      <c r="O208" s="26" t="s">
        <v>60</v>
      </c>
      <c r="P208" s="26" t="s">
        <v>60</v>
      </c>
      <c r="Q208" s="26" t="s">
        <v>60</v>
      </c>
      <c r="R208" s="26" t="s">
        <v>60</v>
      </c>
      <c r="S208" s="26" t="s">
        <v>90</v>
      </c>
      <c r="T208" s="26" t="s">
        <v>327</v>
      </c>
      <c r="U208" s="26" t="s">
        <v>233</v>
      </c>
      <c r="V208" s="26" t="s">
        <v>328</v>
      </c>
      <c r="W208" s="26" t="s">
        <v>135</v>
      </c>
      <c r="X208" s="26" t="s">
        <v>332</v>
      </c>
      <c r="Y208" s="26" t="s">
        <v>55</v>
      </c>
      <c r="Z208" s="26" t="s">
        <v>56</v>
      </c>
      <c r="AA208" s="26" t="s">
        <v>60</v>
      </c>
      <c r="AB208" s="26" t="s">
        <v>60</v>
      </c>
      <c r="AC208" s="26" t="s">
        <v>60</v>
      </c>
      <c r="AD208" s="26" t="s">
        <v>60</v>
      </c>
      <c r="AE208" s="26" t="s">
        <v>60</v>
      </c>
      <c r="AF208" s="26" t="s">
        <v>60</v>
      </c>
      <c r="AG208" s="26"/>
      <c r="AH208" s="26"/>
      <c r="AI208" t="s">
        <v>133</v>
      </c>
      <c r="AJ208" t="s">
        <v>331</v>
      </c>
      <c r="AK208" t="s">
        <v>431</v>
      </c>
      <c r="AL208" t="s">
        <v>432</v>
      </c>
      <c r="AM208" s="26" t="s">
        <v>57</v>
      </c>
      <c r="AN208" s="26" t="s">
        <v>58</v>
      </c>
      <c r="AO208" s="26" t="s">
        <v>60</v>
      </c>
      <c r="AP208" s="26" t="s">
        <v>60</v>
      </c>
      <c r="AQ208" t="s">
        <v>60</v>
      </c>
      <c r="AR208" t="s">
        <v>60</v>
      </c>
      <c r="AS208" s="26"/>
      <c r="AT208" s="26"/>
      <c r="AU208" s="26"/>
      <c r="AV208" s="26" t="s">
        <v>59</v>
      </c>
      <c r="AW208" s="26"/>
      <c r="AX208" s="26"/>
      <c r="AY208" s="26"/>
      <c r="AZ208" s="26"/>
      <c r="BA208" s="26"/>
      <c r="BB208" s="26" t="s">
        <v>191</v>
      </c>
      <c r="BC208" s="26"/>
      <c r="BD208" s="26"/>
      <c r="BE208" s="26"/>
      <c r="BF208" s="26"/>
      <c r="BG208" s="26"/>
      <c r="BH208" s="26"/>
      <c r="BI208" s="26"/>
      <c r="BJ208" s="26"/>
      <c r="BK208" s="26"/>
      <c r="BL208" s="26" t="s">
        <v>335</v>
      </c>
      <c r="BM208" s="6">
        <v>45207</v>
      </c>
      <c r="BN208" s="26" t="s">
        <v>45</v>
      </c>
      <c r="BO208" s="26" t="s">
        <v>172</v>
      </c>
      <c r="BP208" s="26" t="s">
        <v>28</v>
      </c>
      <c r="BQ208">
        <v>123.63</v>
      </c>
      <c r="BR208">
        <v>237.48</v>
      </c>
      <c r="BS208">
        <v>206.93</v>
      </c>
      <c r="BT208">
        <v>299.92</v>
      </c>
      <c r="BU208">
        <v>9.81</v>
      </c>
      <c r="BV208">
        <v>38.76</v>
      </c>
      <c r="BW208">
        <v>7.67</v>
      </c>
      <c r="BX208" s="26">
        <v>0</v>
      </c>
      <c r="BY208" s="26">
        <v>0</v>
      </c>
      <c r="BZ208">
        <v>8.7899999999999991</v>
      </c>
      <c r="CA208">
        <v>68.58</v>
      </c>
      <c r="CB208">
        <v>2.79</v>
      </c>
    </row>
    <row r="209" spans="1:80" x14ac:dyDescent="0.25">
      <c r="A209" s="26">
        <v>836</v>
      </c>
      <c r="B209" s="26" t="s">
        <v>177</v>
      </c>
      <c r="C209" s="26" t="s">
        <v>178</v>
      </c>
      <c r="D209" s="26" t="s">
        <v>18</v>
      </c>
      <c r="E209" s="1">
        <v>8</v>
      </c>
      <c r="F209" s="5">
        <v>88.35</v>
      </c>
      <c r="G209" s="1">
        <v>706.8</v>
      </c>
      <c r="H209" s="1">
        <v>129.15</v>
      </c>
      <c r="I209" s="1">
        <v>1033.2</v>
      </c>
      <c r="J209" s="1">
        <v>326.40000000000009</v>
      </c>
      <c r="K209" s="5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M209" s="26"/>
      <c r="AN209" s="26"/>
      <c r="AO209" s="26"/>
      <c r="AP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6">
        <v>45205</v>
      </c>
      <c r="BN209" s="26" t="s">
        <v>402</v>
      </c>
      <c r="BO209" s="26" t="s">
        <v>403</v>
      </c>
      <c r="BP209" s="26" t="s">
        <v>29</v>
      </c>
      <c r="BQ209">
        <v>129.15</v>
      </c>
      <c r="BR209">
        <v>248.33</v>
      </c>
      <c r="BS209">
        <v>216.61</v>
      </c>
      <c r="BT209">
        <v>313.7</v>
      </c>
      <c r="BU209">
        <v>9.81</v>
      </c>
      <c r="BV209">
        <v>38.76</v>
      </c>
      <c r="BW209">
        <v>7.67</v>
      </c>
      <c r="BX209" s="26">
        <v>0</v>
      </c>
      <c r="BY209" s="26">
        <v>0</v>
      </c>
      <c r="BZ209">
        <v>8.7899999999999991</v>
      </c>
      <c r="CA209">
        <v>68.58</v>
      </c>
      <c r="CB209">
        <v>2.79</v>
      </c>
    </row>
    <row r="210" spans="1:80" x14ac:dyDescent="0.25">
      <c r="A210" s="26">
        <v>836</v>
      </c>
      <c r="B210" s="26" t="s">
        <v>393</v>
      </c>
      <c r="C210" s="26" t="s">
        <v>178</v>
      </c>
      <c r="D210" s="26" t="s">
        <v>22</v>
      </c>
      <c r="E210" s="1">
        <v>8</v>
      </c>
      <c r="F210" s="5">
        <v>7.7</v>
      </c>
      <c r="G210" s="1">
        <v>61.6</v>
      </c>
      <c r="H210" s="1">
        <v>9.81</v>
      </c>
      <c r="I210" s="1">
        <v>78.48</v>
      </c>
      <c r="J210" s="1">
        <v>16.880000000000003</v>
      </c>
      <c r="K210" s="5" t="s">
        <v>90</v>
      </c>
      <c r="L210" s="26" t="s">
        <v>460</v>
      </c>
      <c r="M210" s="26" t="s">
        <v>60</v>
      </c>
      <c r="N210" s="26" t="s">
        <v>60</v>
      </c>
      <c r="O210" s="26" t="s">
        <v>60</v>
      </c>
      <c r="P210" s="26" t="s">
        <v>60</v>
      </c>
      <c r="Q210" s="26" t="s">
        <v>60</v>
      </c>
      <c r="R210" s="26" t="s">
        <v>60</v>
      </c>
      <c r="S210" s="26" t="s">
        <v>60</v>
      </c>
      <c r="T210" s="26" t="s">
        <v>60</v>
      </c>
      <c r="U210" s="26" t="s">
        <v>461</v>
      </c>
      <c r="V210" s="26" t="s">
        <v>462</v>
      </c>
      <c r="W210" s="26" t="s">
        <v>60</v>
      </c>
      <c r="X210" s="26" t="s">
        <v>60</v>
      </c>
      <c r="Y210" s="26" t="s">
        <v>55</v>
      </c>
      <c r="Z210" s="26" t="s">
        <v>56</v>
      </c>
      <c r="AA210" s="26" t="s">
        <v>60</v>
      </c>
      <c r="AB210" s="26" t="s">
        <v>60</v>
      </c>
      <c r="AC210" s="26" t="s">
        <v>60</v>
      </c>
      <c r="AD210" s="26" t="s">
        <v>60</v>
      </c>
      <c r="AE210" s="26" t="s">
        <v>60</v>
      </c>
      <c r="AF210" s="26" t="s">
        <v>60</v>
      </c>
      <c r="AG210" s="26" t="s">
        <v>60</v>
      </c>
      <c r="AH210" s="26" t="s">
        <v>60</v>
      </c>
      <c r="AI210" t="s">
        <v>60</v>
      </c>
      <c r="AJ210" t="s">
        <v>60</v>
      </c>
      <c r="AK210" t="s">
        <v>57</v>
      </c>
      <c r="AL210" t="s">
        <v>463</v>
      </c>
      <c r="AM210" s="26" t="s">
        <v>57</v>
      </c>
      <c r="AN210" s="26" t="s">
        <v>58</v>
      </c>
      <c r="AO210" s="26"/>
      <c r="AP210" s="26"/>
      <c r="AS210" s="26"/>
      <c r="AT210" s="26"/>
      <c r="AU210" s="26"/>
      <c r="AV210" s="26" t="s">
        <v>59</v>
      </c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6">
        <v>45207</v>
      </c>
      <c r="BN210" s="26" t="s">
        <v>402</v>
      </c>
      <c r="BO210" s="26" t="s">
        <v>403</v>
      </c>
      <c r="BP210" s="26" t="s">
        <v>29</v>
      </c>
      <c r="BQ210">
        <v>129.15</v>
      </c>
      <c r="BR210">
        <v>248.33</v>
      </c>
      <c r="BS210">
        <v>216.61</v>
      </c>
      <c r="BT210">
        <v>313.7</v>
      </c>
      <c r="BU210">
        <v>9.81</v>
      </c>
      <c r="BV210">
        <v>38.76</v>
      </c>
      <c r="BW210">
        <v>7.67</v>
      </c>
      <c r="BX210" s="26">
        <v>0</v>
      </c>
      <c r="BY210" s="26">
        <v>0</v>
      </c>
      <c r="BZ210">
        <v>8.7899999999999991</v>
      </c>
      <c r="CA210">
        <v>68.58</v>
      </c>
      <c r="CB210">
        <v>2.79</v>
      </c>
    </row>
    <row r="211" spans="1:80" x14ac:dyDescent="0.25">
      <c r="A211" s="26">
        <v>836</v>
      </c>
      <c r="B211" s="26" t="s">
        <v>393</v>
      </c>
      <c r="C211" s="26" t="s">
        <v>178</v>
      </c>
      <c r="D211" s="26" t="s">
        <v>25</v>
      </c>
      <c r="E211" s="1">
        <v>1</v>
      </c>
      <c r="F211" s="5">
        <v>55</v>
      </c>
      <c r="G211" s="1">
        <v>55</v>
      </c>
      <c r="H211" s="1">
        <v>68.58</v>
      </c>
      <c r="I211" s="1">
        <v>68.58</v>
      </c>
      <c r="J211" s="1">
        <v>13.579999999999998</v>
      </c>
      <c r="K211" s="5" t="s">
        <v>90</v>
      </c>
      <c r="L211" s="26" t="s">
        <v>460</v>
      </c>
      <c r="M211" s="26" t="s">
        <v>60</v>
      </c>
      <c r="N211" s="26" t="s">
        <v>60</v>
      </c>
      <c r="O211" s="26" t="s">
        <v>60</v>
      </c>
      <c r="P211" s="26" t="s">
        <v>60</v>
      </c>
      <c r="Q211" s="26" t="s">
        <v>60</v>
      </c>
      <c r="R211" s="26" t="s">
        <v>60</v>
      </c>
      <c r="S211" s="26" t="s">
        <v>60</v>
      </c>
      <c r="T211" s="26" t="s">
        <v>60</v>
      </c>
      <c r="U211" s="26" t="s">
        <v>461</v>
      </c>
      <c r="V211" s="26" t="s">
        <v>462</v>
      </c>
      <c r="W211" s="26" t="s">
        <v>60</v>
      </c>
      <c r="X211" s="26" t="s">
        <v>60</v>
      </c>
      <c r="Y211" s="26" t="s">
        <v>55</v>
      </c>
      <c r="Z211" s="26" t="s">
        <v>56</v>
      </c>
      <c r="AA211" s="26" t="s">
        <v>60</v>
      </c>
      <c r="AB211" s="26" t="s">
        <v>60</v>
      </c>
      <c r="AC211" s="26" t="s">
        <v>60</v>
      </c>
      <c r="AD211" s="26" t="s">
        <v>60</v>
      </c>
      <c r="AE211" s="26" t="s">
        <v>60</v>
      </c>
      <c r="AF211" s="26" t="s">
        <v>60</v>
      </c>
      <c r="AG211" s="26" t="s">
        <v>60</v>
      </c>
      <c r="AH211" s="26" t="s">
        <v>60</v>
      </c>
      <c r="AI211" t="s">
        <v>60</v>
      </c>
      <c r="AJ211" t="s">
        <v>60</v>
      </c>
      <c r="AK211">
        <v>1</v>
      </c>
      <c r="AL211">
        <v>55</v>
      </c>
      <c r="AM211" s="26" t="s">
        <v>57</v>
      </c>
      <c r="AN211" s="26" t="s">
        <v>58</v>
      </c>
      <c r="AO211" s="26">
        <v>0</v>
      </c>
      <c r="AP211" s="26">
        <v>0</v>
      </c>
      <c r="AQ211" t="s">
        <v>60</v>
      </c>
      <c r="AR211" t="s">
        <v>60</v>
      </c>
      <c r="AS211" s="26" t="s">
        <v>60</v>
      </c>
      <c r="AT211" s="26" t="s">
        <v>60</v>
      </c>
      <c r="AU211" s="26" t="s">
        <v>60</v>
      </c>
      <c r="AV211" s="26" t="s">
        <v>59</v>
      </c>
      <c r="AW211" s="26" t="s">
        <v>574</v>
      </c>
      <c r="AX211" s="26" t="s">
        <v>574</v>
      </c>
      <c r="AY211" s="26" t="s">
        <v>576</v>
      </c>
      <c r="AZ211" s="26" t="s">
        <v>577</v>
      </c>
      <c r="BA211" s="26" t="s">
        <v>575</v>
      </c>
      <c r="BB211" s="26" t="s">
        <v>90</v>
      </c>
      <c r="BC211" s="26" t="s">
        <v>121</v>
      </c>
      <c r="BD211" s="26" t="s">
        <v>578</v>
      </c>
      <c r="BE211" s="26" t="s">
        <v>60</v>
      </c>
      <c r="BF211" s="26" t="s">
        <v>60</v>
      </c>
      <c r="BG211" s="26" t="s">
        <v>60</v>
      </c>
      <c r="BH211" s="26" t="s">
        <v>60</v>
      </c>
      <c r="BI211" s="26" t="s">
        <v>60</v>
      </c>
      <c r="BJ211" s="26" t="s">
        <v>60</v>
      </c>
      <c r="BK211" s="26" t="s">
        <v>60</v>
      </c>
      <c r="BL211" s="26" t="s">
        <v>579</v>
      </c>
      <c r="BM211" s="6">
        <v>45207</v>
      </c>
      <c r="BN211" s="26" t="s">
        <v>402</v>
      </c>
      <c r="BO211" s="26" t="s">
        <v>403</v>
      </c>
      <c r="BP211" s="26" t="s">
        <v>29</v>
      </c>
      <c r="BQ211">
        <v>129.15</v>
      </c>
      <c r="BR211">
        <v>248.33</v>
      </c>
      <c r="BS211">
        <v>216.61</v>
      </c>
      <c r="BT211">
        <v>313.7</v>
      </c>
      <c r="BU211">
        <v>9.81</v>
      </c>
      <c r="BV211">
        <v>38.76</v>
      </c>
      <c r="BW211">
        <v>7.67</v>
      </c>
      <c r="BX211" s="26">
        <v>0</v>
      </c>
      <c r="BY211" s="26">
        <v>0</v>
      </c>
      <c r="BZ211">
        <v>8.7899999999999991</v>
      </c>
      <c r="CA211">
        <v>68.58</v>
      </c>
      <c r="CB211">
        <v>2.79</v>
      </c>
    </row>
    <row r="212" spans="1:80" x14ac:dyDescent="0.25">
      <c r="A212" s="26">
        <v>115</v>
      </c>
      <c r="B212" s="26" t="s">
        <v>162</v>
      </c>
      <c r="C212" s="26" t="s">
        <v>293</v>
      </c>
      <c r="D212" s="26" t="s">
        <v>18</v>
      </c>
      <c r="E212" s="1">
        <v>8</v>
      </c>
      <c r="F212" s="5">
        <v>84.4</v>
      </c>
      <c r="G212" s="1">
        <v>675.2</v>
      </c>
      <c r="H212" s="1">
        <v>123.63</v>
      </c>
      <c r="I212" s="1">
        <v>989.04</v>
      </c>
      <c r="J212" s="1">
        <v>313.83999999999992</v>
      </c>
      <c r="K212" s="5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M212" s="26"/>
      <c r="AN212" s="26"/>
      <c r="AO212" s="26"/>
      <c r="AP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6">
        <v>45202</v>
      </c>
      <c r="BN212" s="26" t="s">
        <v>45</v>
      </c>
      <c r="BO212" s="26" t="s">
        <v>172</v>
      </c>
      <c r="BP212" s="26" t="s">
        <v>28</v>
      </c>
      <c r="BQ212">
        <v>123.63</v>
      </c>
      <c r="BR212">
        <v>237.48</v>
      </c>
      <c r="BS212">
        <v>206.93</v>
      </c>
      <c r="BT212">
        <v>299.92</v>
      </c>
      <c r="BU212">
        <v>9.81</v>
      </c>
      <c r="BV212">
        <v>38.76</v>
      </c>
      <c r="BW212">
        <v>7.67</v>
      </c>
      <c r="BX212" s="26">
        <v>0</v>
      </c>
      <c r="BY212" s="26">
        <v>0</v>
      </c>
      <c r="BZ212">
        <v>8.7899999999999991</v>
      </c>
      <c r="CA212">
        <v>68.58</v>
      </c>
      <c r="CB212">
        <v>2.79</v>
      </c>
    </row>
    <row r="213" spans="1:80" x14ac:dyDescent="0.25">
      <c r="A213" s="26">
        <v>115</v>
      </c>
      <c r="B213" s="26" t="s">
        <v>162</v>
      </c>
      <c r="C213" s="26" t="s">
        <v>293</v>
      </c>
      <c r="D213" s="26" t="s">
        <v>19</v>
      </c>
      <c r="E213" s="1">
        <v>4</v>
      </c>
      <c r="F213" s="5">
        <v>168.8</v>
      </c>
      <c r="G213" s="1">
        <v>675.2</v>
      </c>
      <c r="H213" s="1">
        <v>206.93</v>
      </c>
      <c r="I213" s="1">
        <v>827.72</v>
      </c>
      <c r="J213" s="1">
        <v>152.51999999999998</v>
      </c>
      <c r="K213" s="5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M213" s="26"/>
      <c r="AN213" s="26"/>
      <c r="AO213" s="26"/>
      <c r="AP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6">
        <v>45202</v>
      </c>
      <c r="BN213" s="26" t="s">
        <v>45</v>
      </c>
      <c r="BO213" s="26" t="s">
        <v>172</v>
      </c>
      <c r="BP213" s="26" t="s">
        <v>28</v>
      </c>
      <c r="BQ213">
        <v>123.63</v>
      </c>
      <c r="BR213">
        <v>237.48</v>
      </c>
      <c r="BS213">
        <v>206.93</v>
      </c>
      <c r="BT213">
        <v>299.92</v>
      </c>
      <c r="BU213">
        <v>9.81</v>
      </c>
      <c r="BV213">
        <v>38.76</v>
      </c>
      <c r="BW213">
        <v>7.67</v>
      </c>
      <c r="BX213" s="26">
        <v>0</v>
      </c>
      <c r="BY213" s="26">
        <v>0</v>
      </c>
      <c r="BZ213">
        <v>8.7899999999999991</v>
      </c>
      <c r="CA213">
        <v>68.58</v>
      </c>
      <c r="CB213">
        <v>2.79</v>
      </c>
    </row>
    <row r="214" spans="1:80" x14ac:dyDescent="0.25">
      <c r="A214" s="26">
        <v>115</v>
      </c>
      <c r="B214" s="26" t="s">
        <v>162</v>
      </c>
      <c r="C214" s="26" t="s">
        <v>293</v>
      </c>
      <c r="D214" s="26" t="s">
        <v>18</v>
      </c>
      <c r="E214" s="1">
        <v>8</v>
      </c>
      <c r="F214" s="5">
        <v>84.4</v>
      </c>
      <c r="G214" s="1">
        <v>675.2</v>
      </c>
      <c r="H214" s="1">
        <v>123.63</v>
      </c>
      <c r="I214" s="1">
        <v>989.04</v>
      </c>
      <c r="J214" s="1">
        <v>313.83999999999992</v>
      </c>
      <c r="K214" s="5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M214" s="26"/>
      <c r="AN214" s="26"/>
      <c r="AO214" s="26"/>
      <c r="AP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6">
        <v>45203</v>
      </c>
      <c r="BN214" s="26" t="s">
        <v>45</v>
      </c>
      <c r="BO214" s="26" t="s">
        <v>172</v>
      </c>
      <c r="BP214" s="26" t="s">
        <v>28</v>
      </c>
      <c r="BQ214">
        <v>123.63</v>
      </c>
      <c r="BR214">
        <v>237.48</v>
      </c>
      <c r="BS214">
        <v>206.93</v>
      </c>
      <c r="BT214">
        <v>299.92</v>
      </c>
      <c r="BU214">
        <v>9.81</v>
      </c>
      <c r="BV214">
        <v>38.76</v>
      </c>
      <c r="BW214">
        <v>7.67</v>
      </c>
      <c r="BX214" s="26">
        <v>0</v>
      </c>
      <c r="BY214" s="26">
        <v>0</v>
      </c>
      <c r="BZ214">
        <v>8.7899999999999991</v>
      </c>
      <c r="CA214">
        <v>68.58</v>
      </c>
      <c r="CB214">
        <v>2.79</v>
      </c>
    </row>
    <row r="215" spans="1:80" x14ac:dyDescent="0.25">
      <c r="A215" s="26">
        <v>115</v>
      </c>
      <c r="B215" s="26" t="s">
        <v>162</v>
      </c>
      <c r="C215" s="26" t="s">
        <v>293</v>
      </c>
      <c r="D215" s="26" t="s">
        <v>19</v>
      </c>
      <c r="E215" s="1">
        <v>4</v>
      </c>
      <c r="F215" s="5">
        <v>168.8</v>
      </c>
      <c r="G215" s="1">
        <v>675.2</v>
      </c>
      <c r="H215" s="1">
        <v>206.93</v>
      </c>
      <c r="I215" s="1">
        <v>827.72</v>
      </c>
      <c r="J215" s="1">
        <v>152.51999999999998</v>
      </c>
      <c r="K215" s="5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M215" s="26"/>
      <c r="AN215" s="26"/>
      <c r="AO215" s="26"/>
      <c r="AP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6">
        <v>45203</v>
      </c>
      <c r="BN215" s="26" t="s">
        <v>45</v>
      </c>
      <c r="BO215" s="26" t="s">
        <v>172</v>
      </c>
      <c r="BP215" s="26" t="s">
        <v>28</v>
      </c>
      <c r="BQ215">
        <v>123.63</v>
      </c>
      <c r="BR215">
        <v>237.48</v>
      </c>
      <c r="BS215">
        <v>206.93</v>
      </c>
      <c r="BT215">
        <v>299.92</v>
      </c>
      <c r="BU215">
        <v>9.81</v>
      </c>
      <c r="BV215">
        <v>38.76</v>
      </c>
      <c r="BW215">
        <v>7.67</v>
      </c>
      <c r="BX215" s="26">
        <v>0</v>
      </c>
      <c r="BY215" s="26">
        <v>0</v>
      </c>
      <c r="BZ215">
        <v>8.7899999999999991</v>
      </c>
      <c r="CA215">
        <v>68.58</v>
      </c>
      <c r="CB215">
        <v>2.79</v>
      </c>
    </row>
    <row r="216" spans="1:80" x14ac:dyDescent="0.25">
      <c r="A216" s="26">
        <v>115</v>
      </c>
      <c r="B216" s="26" t="s">
        <v>162</v>
      </c>
      <c r="C216" s="26" t="s">
        <v>293</v>
      </c>
      <c r="D216" s="26" t="s">
        <v>18</v>
      </c>
      <c r="E216" s="1">
        <v>8</v>
      </c>
      <c r="F216" s="5">
        <v>84.4</v>
      </c>
      <c r="G216" s="1">
        <v>675.2</v>
      </c>
      <c r="H216" s="1">
        <v>123.63</v>
      </c>
      <c r="I216" s="1">
        <v>989.04</v>
      </c>
      <c r="J216" s="1">
        <v>313.83999999999992</v>
      </c>
      <c r="K216" s="5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M216" s="26"/>
      <c r="AN216" s="26"/>
      <c r="AO216" s="26"/>
      <c r="AP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6">
        <v>45204</v>
      </c>
      <c r="BN216" s="26" t="s">
        <v>45</v>
      </c>
      <c r="BO216" s="26" t="s">
        <v>172</v>
      </c>
      <c r="BP216" s="26" t="s">
        <v>28</v>
      </c>
      <c r="BQ216">
        <v>123.63</v>
      </c>
      <c r="BR216">
        <v>237.48</v>
      </c>
      <c r="BS216">
        <v>206.93</v>
      </c>
      <c r="BT216">
        <v>299.92</v>
      </c>
      <c r="BU216">
        <v>9.81</v>
      </c>
      <c r="BV216">
        <v>38.76</v>
      </c>
      <c r="BW216">
        <v>7.67</v>
      </c>
      <c r="BX216" s="26">
        <v>0</v>
      </c>
      <c r="BY216" s="26">
        <v>0</v>
      </c>
      <c r="BZ216">
        <v>8.7899999999999991</v>
      </c>
      <c r="CA216">
        <v>68.58</v>
      </c>
      <c r="CB216">
        <v>2.79</v>
      </c>
    </row>
    <row r="217" spans="1:80" x14ac:dyDescent="0.25">
      <c r="A217" s="26">
        <v>115</v>
      </c>
      <c r="B217" s="26" t="s">
        <v>162</v>
      </c>
      <c r="C217" s="26" t="s">
        <v>293</v>
      </c>
      <c r="D217" s="26" t="s">
        <v>19</v>
      </c>
      <c r="E217" s="1">
        <v>4</v>
      </c>
      <c r="F217" s="5">
        <v>168.8</v>
      </c>
      <c r="G217" s="1">
        <v>675.2</v>
      </c>
      <c r="H217" s="1">
        <v>206.93</v>
      </c>
      <c r="I217" s="1">
        <v>827.72</v>
      </c>
      <c r="J217" s="1">
        <v>152.51999999999998</v>
      </c>
      <c r="K217" s="5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M217" s="26"/>
      <c r="AN217" s="26"/>
      <c r="AO217" s="26"/>
      <c r="AP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6">
        <v>45204</v>
      </c>
      <c r="BN217" s="26" t="s">
        <v>45</v>
      </c>
      <c r="BO217" s="26" t="s">
        <v>172</v>
      </c>
      <c r="BP217" s="26" t="s">
        <v>28</v>
      </c>
      <c r="BQ217">
        <v>123.63</v>
      </c>
      <c r="BR217">
        <v>237.48</v>
      </c>
      <c r="BS217">
        <v>206.93</v>
      </c>
      <c r="BT217">
        <v>299.92</v>
      </c>
      <c r="BU217">
        <v>9.81</v>
      </c>
      <c r="BV217">
        <v>38.76</v>
      </c>
      <c r="BW217">
        <v>7.67</v>
      </c>
      <c r="BX217" s="26">
        <v>0</v>
      </c>
      <c r="BY217" s="26">
        <v>0</v>
      </c>
      <c r="BZ217">
        <v>8.7899999999999991</v>
      </c>
      <c r="CA217">
        <v>68.58</v>
      </c>
      <c r="CB217">
        <v>2.79</v>
      </c>
    </row>
    <row r="218" spans="1:80" x14ac:dyDescent="0.25">
      <c r="A218" s="26">
        <v>115</v>
      </c>
      <c r="B218" s="26" t="s">
        <v>162</v>
      </c>
      <c r="C218" s="26" t="s">
        <v>293</v>
      </c>
      <c r="D218" s="26" t="s">
        <v>18</v>
      </c>
      <c r="E218" s="1">
        <v>8</v>
      </c>
      <c r="F218" s="5">
        <v>84.4</v>
      </c>
      <c r="G218" s="1">
        <v>675.2</v>
      </c>
      <c r="H218" s="1">
        <v>123.63</v>
      </c>
      <c r="I218" s="1">
        <v>989.04</v>
      </c>
      <c r="J218" s="1">
        <v>313.83999999999992</v>
      </c>
      <c r="K218" s="5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M218" s="26"/>
      <c r="AN218" s="26"/>
      <c r="AO218" s="26"/>
      <c r="AP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6">
        <v>45205</v>
      </c>
      <c r="BN218" s="26" t="s">
        <v>45</v>
      </c>
      <c r="BO218" s="26" t="s">
        <v>172</v>
      </c>
      <c r="BP218" s="26" t="s">
        <v>28</v>
      </c>
      <c r="BQ218">
        <v>123.63</v>
      </c>
      <c r="BR218">
        <v>237.48</v>
      </c>
      <c r="BS218">
        <v>206.93</v>
      </c>
      <c r="BT218">
        <v>299.92</v>
      </c>
      <c r="BU218">
        <v>9.81</v>
      </c>
      <c r="BV218">
        <v>38.76</v>
      </c>
      <c r="BW218">
        <v>7.67</v>
      </c>
      <c r="BX218" s="26">
        <v>0</v>
      </c>
      <c r="BY218" s="26">
        <v>0</v>
      </c>
      <c r="BZ218">
        <v>8.7899999999999991</v>
      </c>
      <c r="CA218">
        <v>68.58</v>
      </c>
      <c r="CB218">
        <v>2.79</v>
      </c>
    </row>
    <row r="219" spans="1:80" x14ac:dyDescent="0.25">
      <c r="A219" s="26">
        <v>115</v>
      </c>
      <c r="B219" s="26" t="s">
        <v>162</v>
      </c>
      <c r="C219" s="26" t="s">
        <v>293</v>
      </c>
      <c r="D219" s="26" t="s">
        <v>19</v>
      </c>
      <c r="E219" s="1">
        <v>4</v>
      </c>
      <c r="F219" s="5">
        <v>168.8</v>
      </c>
      <c r="G219" s="1">
        <v>675.2</v>
      </c>
      <c r="H219" s="1">
        <v>206.93</v>
      </c>
      <c r="I219" s="1">
        <v>827.72</v>
      </c>
      <c r="J219" s="1">
        <v>152.51999999999998</v>
      </c>
      <c r="K219" s="5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M219" s="26"/>
      <c r="AN219" s="26"/>
      <c r="AO219" s="26"/>
      <c r="AP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6">
        <v>45205</v>
      </c>
      <c r="BN219" s="26" t="s">
        <v>45</v>
      </c>
      <c r="BO219" s="26" t="s">
        <v>172</v>
      </c>
      <c r="BP219" s="26" t="s">
        <v>28</v>
      </c>
      <c r="BQ219">
        <v>123.63</v>
      </c>
      <c r="BR219">
        <v>237.48</v>
      </c>
      <c r="BS219">
        <v>206.93</v>
      </c>
      <c r="BT219">
        <v>299.92</v>
      </c>
      <c r="BU219">
        <v>9.81</v>
      </c>
      <c r="BV219">
        <v>38.76</v>
      </c>
      <c r="BW219">
        <v>7.67</v>
      </c>
      <c r="BX219" s="26">
        <v>0</v>
      </c>
      <c r="BY219" s="26">
        <v>0</v>
      </c>
      <c r="BZ219">
        <v>8.7899999999999991</v>
      </c>
      <c r="CA219">
        <v>68.58</v>
      </c>
      <c r="CB219">
        <v>2.79</v>
      </c>
    </row>
    <row r="220" spans="1:80" x14ac:dyDescent="0.25">
      <c r="A220" s="26">
        <v>115</v>
      </c>
      <c r="B220" s="26" t="s">
        <v>162</v>
      </c>
      <c r="C220" s="26" t="s">
        <v>293</v>
      </c>
      <c r="D220" s="26" t="s">
        <v>19</v>
      </c>
      <c r="E220" s="1">
        <v>8</v>
      </c>
      <c r="F220" s="5">
        <v>168.8</v>
      </c>
      <c r="G220" s="1">
        <v>1350.4</v>
      </c>
      <c r="H220" s="1">
        <v>206.93</v>
      </c>
      <c r="I220" s="1">
        <v>1655.44</v>
      </c>
      <c r="J220" s="1">
        <v>305.03999999999996</v>
      </c>
      <c r="K220" s="5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M220" s="26"/>
      <c r="AN220" s="26"/>
      <c r="AO220" s="26"/>
      <c r="AP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6">
        <v>45206</v>
      </c>
      <c r="BN220" s="26" t="s">
        <v>45</v>
      </c>
      <c r="BO220" s="26" t="s">
        <v>172</v>
      </c>
      <c r="BP220" s="26" t="s">
        <v>28</v>
      </c>
      <c r="BQ220">
        <v>123.63</v>
      </c>
      <c r="BR220">
        <v>237.48</v>
      </c>
      <c r="BS220">
        <v>206.93</v>
      </c>
      <c r="BT220">
        <v>299.92</v>
      </c>
      <c r="BU220">
        <v>9.81</v>
      </c>
      <c r="BV220">
        <v>38.76</v>
      </c>
      <c r="BW220">
        <v>7.67</v>
      </c>
      <c r="BX220" s="26">
        <v>0</v>
      </c>
      <c r="BY220" s="26">
        <v>0</v>
      </c>
      <c r="BZ220">
        <v>8.7899999999999991</v>
      </c>
      <c r="CA220">
        <v>68.58</v>
      </c>
      <c r="CB220">
        <v>2.79</v>
      </c>
    </row>
    <row r="221" spans="1:80" x14ac:dyDescent="0.25">
      <c r="A221" s="26">
        <v>115</v>
      </c>
      <c r="B221" s="26" t="s">
        <v>298</v>
      </c>
      <c r="C221" s="26" t="s">
        <v>293</v>
      </c>
      <c r="D221" s="26" t="s">
        <v>22</v>
      </c>
      <c r="E221" s="1">
        <v>56</v>
      </c>
      <c r="F221" s="5">
        <v>7.7</v>
      </c>
      <c r="G221" s="1">
        <v>431.2</v>
      </c>
      <c r="H221" s="1">
        <v>9.81</v>
      </c>
      <c r="I221" s="1">
        <v>549.36</v>
      </c>
      <c r="J221" s="1">
        <v>118.16000000000003</v>
      </c>
      <c r="K221" s="5" t="s">
        <v>135</v>
      </c>
      <c r="L221" s="26" t="s">
        <v>326</v>
      </c>
      <c r="M221" s="26" t="s">
        <v>372</v>
      </c>
      <c r="N221" s="26" t="s">
        <v>373</v>
      </c>
      <c r="O221" s="26" t="s">
        <v>60</v>
      </c>
      <c r="P221" s="26" t="s">
        <v>60</v>
      </c>
      <c r="Q221" s="26" t="s">
        <v>60</v>
      </c>
      <c r="R221" s="26" t="s">
        <v>60</v>
      </c>
      <c r="S221" s="26" t="s">
        <v>464</v>
      </c>
      <c r="T221" s="26" t="s">
        <v>465</v>
      </c>
      <c r="U221" s="26" t="s">
        <v>233</v>
      </c>
      <c r="V221" s="26" t="s">
        <v>328</v>
      </c>
      <c r="W221" s="26" t="s">
        <v>60</v>
      </c>
      <c r="X221" s="26" t="s">
        <v>60</v>
      </c>
      <c r="Y221" s="26" t="s">
        <v>55</v>
      </c>
      <c r="Z221" s="26" t="s">
        <v>56</v>
      </c>
      <c r="AA221" s="26" t="s">
        <v>60</v>
      </c>
      <c r="AB221" s="26" t="s">
        <v>60</v>
      </c>
      <c r="AC221" s="26" t="s">
        <v>60</v>
      </c>
      <c r="AD221" s="26" t="s">
        <v>60</v>
      </c>
      <c r="AE221" s="26" t="s">
        <v>60</v>
      </c>
      <c r="AF221" s="26" t="s">
        <v>60</v>
      </c>
      <c r="AG221" s="26" t="s">
        <v>372</v>
      </c>
      <c r="AH221" s="26" t="s">
        <v>458</v>
      </c>
      <c r="AI221" t="s">
        <v>167</v>
      </c>
      <c r="AJ221" t="s">
        <v>459</v>
      </c>
      <c r="AK221" t="s">
        <v>167</v>
      </c>
      <c r="AL221" t="s">
        <v>434</v>
      </c>
      <c r="AM221" s="26" t="s">
        <v>57</v>
      </c>
      <c r="AN221" s="26" t="s">
        <v>58</v>
      </c>
      <c r="AO221" s="26"/>
      <c r="AP221" s="26"/>
      <c r="AS221" s="26"/>
      <c r="AT221" s="26"/>
      <c r="AU221" s="26"/>
      <c r="AV221" s="26" t="s">
        <v>59</v>
      </c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6">
        <v>45207</v>
      </c>
      <c r="BN221" s="26" t="s">
        <v>45</v>
      </c>
      <c r="BO221" s="26" t="s">
        <v>172</v>
      </c>
      <c r="BP221" s="26" t="s">
        <v>28</v>
      </c>
      <c r="BQ221">
        <v>123.63</v>
      </c>
      <c r="BR221">
        <v>237.48</v>
      </c>
      <c r="BS221">
        <v>206.93</v>
      </c>
      <c r="BT221">
        <v>299.92</v>
      </c>
      <c r="BU221">
        <v>9.81</v>
      </c>
      <c r="BV221">
        <v>38.76</v>
      </c>
      <c r="BW221">
        <v>7.67</v>
      </c>
      <c r="BX221" s="26">
        <v>0</v>
      </c>
      <c r="BY221" s="26">
        <v>0</v>
      </c>
      <c r="BZ221">
        <v>8.7899999999999991</v>
      </c>
      <c r="CA221">
        <v>68.58</v>
      </c>
      <c r="CB221">
        <v>2.79</v>
      </c>
    </row>
    <row r="222" spans="1:80" x14ac:dyDescent="0.25">
      <c r="A222" s="26">
        <v>115</v>
      </c>
      <c r="B222" s="26" t="s">
        <v>298</v>
      </c>
      <c r="C222" s="26" t="s">
        <v>293</v>
      </c>
      <c r="D222" s="26" t="s">
        <v>13</v>
      </c>
      <c r="E222" s="1">
        <v>6</v>
      </c>
      <c r="F222" s="5">
        <v>36.089999999999996</v>
      </c>
      <c r="G222" s="1">
        <v>216.54</v>
      </c>
      <c r="H222" s="1">
        <v>38.76</v>
      </c>
      <c r="I222" s="1">
        <v>232.56</v>
      </c>
      <c r="J222" s="1">
        <v>16.02000000000001</v>
      </c>
      <c r="K222" s="5" t="s">
        <v>135</v>
      </c>
      <c r="L222" s="26" t="s">
        <v>326</v>
      </c>
      <c r="M222" s="26" t="s">
        <v>372</v>
      </c>
      <c r="N222" s="26" t="s">
        <v>373</v>
      </c>
      <c r="O222" s="26" t="s">
        <v>60</v>
      </c>
      <c r="P222" s="26" t="s">
        <v>60</v>
      </c>
      <c r="Q222" s="26" t="s">
        <v>60</v>
      </c>
      <c r="R222" s="26" t="s">
        <v>60</v>
      </c>
      <c r="S222" s="26" t="s">
        <v>464</v>
      </c>
      <c r="T222" s="26" t="s">
        <v>465</v>
      </c>
      <c r="U222" s="26" t="s">
        <v>233</v>
      </c>
      <c r="V222" s="26" t="s">
        <v>328</v>
      </c>
      <c r="W222" s="26" t="s">
        <v>60</v>
      </c>
      <c r="X222" s="26" t="s">
        <v>60</v>
      </c>
      <c r="Y222" s="26" t="s">
        <v>55</v>
      </c>
      <c r="Z222" s="26" t="s">
        <v>56</v>
      </c>
      <c r="AA222" s="26" t="s">
        <v>60</v>
      </c>
      <c r="AB222" s="26" t="s">
        <v>60</v>
      </c>
      <c r="AC222" s="26" t="s">
        <v>60</v>
      </c>
      <c r="AD222" s="26" t="s">
        <v>60</v>
      </c>
      <c r="AE222" s="26" t="s">
        <v>60</v>
      </c>
      <c r="AF222" s="26" t="s">
        <v>60</v>
      </c>
      <c r="AG222" s="26" t="s">
        <v>372</v>
      </c>
      <c r="AH222" s="26" t="s">
        <v>458</v>
      </c>
      <c r="AI222">
        <v>6</v>
      </c>
      <c r="AJ222">
        <v>216.54</v>
      </c>
      <c r="AK222" t="s">
        <v>167</v>
      </c>
      <c r="AL222" t="s">
        <v>434</v>
      </c>
      <c r="AM222" s="26" t="s">
        <v>57</v>
      </c>
      <c r="AN222" s="26" t="s">
        <v>58</v>
      </c>
      <c r="AO222" s="26" t="s">
        <v>60</v>
      </c>
      <c r="AP222" s="26" t="s">
        <v>60</v>
      </c>
      <c r="AQ222">
        <v>0</v>
      </c>
      <c r="AR222">
        <v>0</v>
      </c>
      <c r="AS222" s="26" t="s">
        <v>60</v>
      </c>
      <c r="AT222" s="26" t="s">
        <v>60</v>
      </c>
      <c r="AU222" s="26" t="s">
        <v>60</v>
      </c>
      <c r="AV222" s="26" t="s">
        <v>59</v>
      </c>
      <c r="AW222" s="26" t="s">
        <v>554</v>
      </c>
      <c r="AX222" s="26" t="s">
        <v>554</v>
      </c>
      <c r="AY222" s="26" t="s">
        <v>556</v>
      </c>
      <c r="AZ222" s="26" t="s">
        <v>557</v>
      </c>
      <c r="BA222" s="26" t="s">
        <v>555</v>
      </c>
      <c r="BB222" s="26" t="s">
        <v>550</v>
      </c>
      <c r="BC222" s="26"/>
      <c r="BD222" s="26"/>
      <c r="BE222" s="26"/>
      <c r="BF222" s="26"/>
      <c r="BG222" s="26"/>
      <c r="BH222" s="26"/>
      <c r="BI222" s="26"/>
      <c r="BJ222" s="26"/>
      <c r="BK222" s="26"/>
      <c r="BL222" s="26" t="s">
        <v>551</v>
      </c>
      <c r="BM222" s="6">
        <v>45207</v>
      </c>
      <c r="BN222" s="26" t="s">
        <v>45</v>
      </c>
      <c r="BO222" s="26" t="s">
        <v>172</v>
      </c>
      <c r="BP222" s="26" t="s">
        <v>28</v>
      </c>
      <c r="BQ222">
        <v>123.63</v>
      </c>
      <c r="BR222">
        <v>237.48</v>
      </c>
      <c r="BS222">
        <v>206.93</v>
      </c>
      <c r="BT222">
        <v>299.92</v>
      </c>
      <c r="BU222">
        <v>9.81</v>
      </c>
      <c r="BV222">
        <v>38.76</v>
      </c>
      <c r="BW222">
        <v>7.67</v>
      </c>
      <c r="BX222" s="26">
        <v>0</v>
      </c>
      <c r="BY222" s="26">
        <v>0</v>
      </c>
      <c r="BZ222">
        <v>8.7899999999999991</v>
      </c>
      <c r="CA222">
        <v>68.58</v>
      </c>
      <c r="CB222">
        <v>2.79</v>
      </c>
    </row>
    <row r="223" spans="1:80" x14ac:dyDescent="0.25">
      <c r="A223" s="26">
        <v>115</v>
      </c>
      <c r="B223" s="26" t="s">
        <v>298</v>
      </c>
      <c r="C223" s="26" t="s">
        <v>293</v>
      </c>
      <c r="D223" s="26" t="s">
        <v>25</v>
      </c>
      <c r="E223" s="1">
        <v>6</v>
      </c>
      <c r="F223" s="5">
        <v>55</v>
      </c>
      <c r="G223" s="1">
        <v>330</v>
      </c>
      <c r="H223" s="1">
        <v>68.58</v>
      </c>
      <c r="I223" s="1">
        <v>411.48</v>
      </c>
      <c r="J223" s="1">
        <v>81.480000000000018</v>
      </c>
      <c r="K223" s="5" t="s">
        <v>135</v>
      </c>
      <c r="L223" s="26" t="s">
        <v>326</v>
      </c>
      <c r="M223" s="26" t="s">
        <v>372</v>
      </c>
      <c r="N223" s="26" t="s">
        <v>373</v>
      </c>
      <c r="O223" s="26" t="s">
        <v>60</v>
      </c>
      <c r="P223" s="26" t="s">
        <v>60</v>
      </c>
      <c r="Q223" s="26" t="s">
        <v>60</v>
      </c>
      <c r="R223" s="26" t="s">
        <v>60</v>
      </c>
      <c r="S223" s="26" t="s">
        <v>464</v>
      </c>
      <c r="T223" s="26" t="s">
        <v>465</v>
      </c>
      <c r="U223" s="26" t="s">
        <v>233</v>
      </c>
      <c r="V223" s="26" t="s">
        <v>328</v>
      </c>
      <c r="W223" s="26" t="s">
        <v>60</v>
      </c>
      <c r="X223" s="26" t="s">
        <v>60</v>
      </c>
      <c r="Y223" s="26" t="s">
        <v>55</v>
      </c>
      <c r="Z223" s="26" t="s">
        <v>56</v>
      </c>
      <c r="AA223" s="26" t="s">
        <v>60</v>
      </c>
      <c r="AB223" s="26" t="s">
        <v>60</v>
      </c>
      <c r="AC223" s="26" t="s">
        <v>60</v>
      </c>
      <c r="AD223" s="26" t="s">
        <v>60</v>
      </c>
      <c r="AE223" s="26" t="s">
        <v>60</v>
      </c>
      <c r="AF223" s="26" t="s">
        <v>60</v>
      </c>
      <c r="AG223" s="26" t="s">
        <v>372</v>
      </c>
      <c r="AH223" s="26" t="s">
        <v>458</v>
      </c>
      <c r="AI223" t="s">
        <v>167</v>
      </c>
      <c r="AJ223" t="s">
        <v>459</v>
      </c>
      <c r="AK223">
        <v>6</v>
      </c>
      <c r="AL223">
        <v>330</v>
      </c>
      <c r="AM223" s="26" t="s">
        <v>57</v>
      </c>
      <c r="AN223" s="26" t="s">
        <v>58</v>
      </c>
      <c r="AO223" s="26">
        <v>0</v>
      </c>
      <c r="AP223" s="26">
        <v>0</v>
      </c>
      <c r="AQ223" t="s">
        <v>60</v>
      </c>
      <c r="AR223" t="s">
        <v>60</v>
      </c>
      <c r="AS223" s="26" t="s">
        <v>60</v>
      </c>
      <c r="AT223" s="26" t="s">
        <v>60</v>
      </c>
      <c r="AU223" s="26" t="s">
        <v>60</v>
      </c>
      <c r="AV223" s="26" t="s">
        <v>59</v>
      </c>
      <c r="AW223" s="26" t="s">
        <v>554</v>
      </c>
      <c r="AX223" s="26" t="s">
        <v>554</v>
      </c>
      <c r="AY223" s="26" t="s">
        <v>556</v>
      </c>
      <c r="AZ223" s="26" t="s">
        <v>557</v>
      </c>
      <c r="BA223" s="26" t="s">
        <v>555</v>
      </c>
      <c r="BB223" s="26" t="s">
        <v>550</v>
      </c>
      <c r="BC223" s="26" t="s">
        <v>121</v>
      </c>
      <c r="BD223" s="26" t="s">
        <v>580</v>
      </c>
      <c r="BE223" s="26" t="s">
        <v>60</v>
      </c>
      <c r="BF223" s="26" t="s">
        <v>60</v>
      </c>
      <c r="BG223" s="26" t="s">
        <v>60</v>
      </c>
      <c r="BH223" s="26" t="s">
        <v>60</v>
      </c>
      <c r="BI223" s="26" t="s">
        <v>60</v>
      </c>
      <c r="BJ223" s="26" t="s">
        <v>60</v>
      </c>
      <c r="BK223" s="26" t="s">
        <v>60</v>
      </c>
      <c r="BL223" s="26" t="s">
        <v>551</v>
      </c>
      <c r="BM223" s="6">
        <v>45207</v>
      </c>
      <c r="BN223" s="26" t="s">
        <v>45</v>
      </c>
      <c r="BO223" s="26" t="s">
        <v>172</v>
      </c>
      <c r="BP223" s="26" t="s">
        <v>28</v>
      </c>
      <c r="BQ223">
        <v>123.63</v>
      </c>
      <c r="BR223">
        <v>237.48</v>
      </c>
      <c r="BS223">
        <v>206.93</v>
      </c>
      <c r="BT223">
        <v>299.92</v>
      </c>
      <c r="BU223">
        <v>9.81</v>
      </c>
      <c r="BV223">
        <v>38.76</v>
      </c>
      <c r="BW223">
        <v>7.67</v>
      </c>
      <c r="BX223" s="26">
        <v>0</v>
      </c>
      <c r="BY223" s="26">
        <v>0</v>
      </c>
      <c r="BZ223">
        <v>8.7899999999999991</v>
      </c>
      <c r="CA223">
        <v>68.58</v>
      </c>
      <c r="CB223">
        <v>2.79</v>
      </c>
    </row>
    <row r="224" spans="1:80" x14ac:dyDescent="0.25">
      <c r="A224" s="26">
        <v>115</v>
      </c>
      <c r="B224" s="26" t="s">
        <v>298</v>
      </c>
      <c r="C224" s="26" t="s">
        <v>293</v>
      </c>
      <c r="D224" s="26" t="s">
        <v>14</v>
      </c>
      <c r="E224" s="1">
        <v>24</v>
      </c>
      <c r="F224" s="5">
        <v>2.48</v>
      </c>
      <c r="G224" s="1">
        <v>59.52</v>
      </c>
      <c r="H224" s="1">
        <v>2.79</v>
      </c>
      <c r="I224" s="1">
        <v>66.960000000000008</v>
      </c>
      <c r="J224" s="1">
        <v>7.4400000000000048</v>
      </c>
      <c r="K224" s="5" t="s">
        <v>135</v>
      </c>
      <c r="L224" s="26" t="s">
        <v>326</v>
      </c>
      <c r="M224" s="26" t="s">
        <v>372</v>
      </c>
      <c r="N224" s="26" t="s">
        <v>373</v>
      </c>
      <c r="O224" s="26" t="s">
        <v>60</v>
      </c>
      <c r="P224" s="26" t="s">
        <v>60</v>
      </c>
      <c r="Q224" s="26" t="s">
        <v>60</v>
      </c>
      <c r="R224" s="26" t="s">
        <v>60</v>
      </c>
      <c r="S224" s="26" t="s">
        <v>464</v>
      </c>
      <c r="T224" s="26" t="s">
        <v>465</v>
      </c>
      <c r="U224" s="26" t="s">
        <v>233</v>
      </c>
      <c r="V224" s="26" t="s">
        <v>328</v>
      </c>
      <c r="W224" s="26" t="s">
        <v>60</v>
      </c>
      <c r="X224" s="26" t="s">
        <v>60</v>
      </c>
      <c r="Y224" s="26" t="s">
        <v>55</v>
      </c>
      <c r="Z224" s="26" t="s">
        <v>56</v>
      </c>
      <c r="AA224" s="26" t="s">
        <v>60</v>
      </c>
      <c r="AB224" s="26" t="s">
        <v>60</v>
      </c>
      <c r="AC224" s="26" t="s">
        <v>60</v>
      </c>
      <c r="AD224" s="26" t="s">
        <v>60</v>
      </c>
      <c r="AE224" s="26" t="s">
        <v>60</v>
      </c>
      <c r="AF224" s="26" t="s">
        <v>60</v>
      </c>
      <c r="AG224" s="26"/>
      <c r="AH224" s="26"/>
      <c r="AI224" t="s">
        <v>167</v>
      </c>
      <c r="AJ224" t="s">
        <v>459</v>
      </c>
      <c r="AK224" t="s">
        <v>167</v>
      </c>
      <c r="AL224" t="s">
        <v>434</v>
      </c>
      <c r="AM224" s="26" t="s">
        <v>57</v>
      </c>
      <c r="AN224" s="26" t="s">
        <v>58</v>
      </c>
      <c r="AO224" s="26" t="s">
        <v>60</v>
      </c>
      <c r="AP224" s="26" t="s">
        <v>60</v>
      </c>
      <c r="AQ224" t="s">
        <v>60</v>
      </c>
      <c r="AR224" t="s">
        <v>60</v>
      </c>
      <c r="AS224" s="26"/>
      <c r="AT224" s="26"/>
      <c r="AU224" s="26"/>
      <c r="AV224" s="26" t="s">
        <v>59</v>
      </c>
      <c r="AW224" s="26"/>
      <c r="AX224" s="26"/>
      <c r="AY224" s="26"/>
      <c r="AZ224" s="26"/>
      <c r="BA224" s="26"/>
      <c r="BB224" s="26" t="s">
        <v>550</v>
      </c>
      <c r="BC224" s="26"/>
      <c r="BD224" s="26"/>
      <c r="BE224" s="26"/>
      <c r="BF224" s="26"/>
      <c r="BG224" s="26"/>
      <c r="BH224" s="26"/>
      <c r="BI224" s="26"/>
      <c r="BJ224" s="26"/>
      <c r="BK224" s="26"/>
      <c r="BL224" s="26" t="s">
        <v>551</v>
      </c>
      <c r="BM224" s="6">
        <v>45207</v>
      </c>
      <c r="BN224" s="26" t="s">
        <v>45</v>
      </c>
      <c r="BO224" s="26" t="s">
        <v>172</v>
      </c>
      <c r="BP224" s="26" t="s">
        <v>28</v>
      </c>
      <c r="BQ224">
        <v>123.63</v>
      </c>
      <c r="BR224">
        <v>237.48</v>
      </c>
      <c r="BS224">
        <v>206.93</v>
      </c>
      <c r="BT224">
        <v>299.92</v>
      </c>
      <c r="BU224">
        <v>9.81</v>
      </c>
      <c r="BV224">
        <v>38.76</v>
      </c>
      <c r="BW224">
        <v>7.67</v>
      </c>
      <c r="BX224" s="26">
        <v>0</v>
      </c>
      <c r="BY224" s="26">
        <v>0</v>
      </c>
      <c r="BZ224">
        <v>8.7899999999999991</v>
      </c>
      <c r="CA224">
        <v>68.58</v>
      </c>
      <c r="CB224">
        <v>2.79</v>
      </c>
    </row>
    <row r="225" spans="1:65" x14ac:dyDescent="0.25">
      <c r="E225" s="3"/>
      <c r="G225" s="3">
        <f>SUBTOTAL(109,Daily_Cost_Detail___Actual[Cost Amount])</f>
        <v>128356.56499999993</v>
      </c>
      <c r="I225" s="3">
        <f>SUBTOTAL(109,Daily_Cost_Detail___Actual[Amount])</f>
        <v>177429.98999999996</v>
      </c>
      <c r="J225" s="3">
        <f>SUBTOTAL(109,Daily_Cost_Detail___Actual[Margin])</f>
        <v>49073.424999999959</v>
      </c>
      <c r="BM225" s="2"/>
    </row>
    <row r="226" spans="1:65" x14ac:dyDescent="0.25">
      <c r="I226" s="3"/>
      <c r="J226" s="7">
        <f>+Daily_Cost_Detail___Actual[[#Totals],[Margin]]/Daily_Cost_Detail___Actual[[#Totals],[Amount]]</f>
        <v>0.27657908902547967</v>
      </c>
      <c r="K226" s="8" t="s">
        <v>65</v>
      </c>
    </row>
    <row r="227" spans="1:65" x14ac:dyDescent="0.25">
      <c r="J227" s="7">
        <f>+Daily_Cost_Detail___Actual[[#Totals],[Margin]]/Daily_Cost_Detail___Actual[[#Totals],[Cost Amount]]</f>
        <v>0.38232111462315921</v>
      </c>
      <c r="K227" s="8" t="s">
        <v>66</v>
      </c>
    </row>
    <row r="230" spans="1:65" x14ac:dyDescent="0.25">
      <c r="A230" s="18" t="s">
        <v>245</v>
      </c>
      <c r="B230" s="9"/>
      <c r="C230" s="10">
        <v>264313.18</v>
      </c>
      <c r="I230" s="17">
        <f>+Daily_Cost_Detail___Actual[[#Totals],[Amount]]-WGT_Invoice[[#Totals],[Amount]]-RTF_Invoice[[#Totals],[Amount]]-DOM_Invoice[[#Totals],[Amount]]-ARD_Invoice[[#Totals],[Amount]]-CBD_Invoice[[#Totals],[Amount]]-WAB_invoice[[#Totals],[Amount]]-HBM_Invoice[[#Totals],[Amount]]</f>
        <v>-5.8207660913467407E-11</v>
      </c>
    </row>
    <row r="231" spans="1:65" x14ac:dyDescent="0.25">
      <c r="A231" s="11" t="s">
        <v>79</v>
      </c>
      <c r="C231" s="12">
        <v>-324.64</v>
      </c>
    </row>
    <row r="232" spans="1:65" x14ac:dyDescent="0.25">
      <c r="A232" s="11" t="s">
        <v>80</v>
      </c>
      <c r="C232" s="12">
        <v>-324.64</v>
      </c>
    </row>
    <row r="233" spans="1:65" x14ac:dyDescent="0.25">
      <c r="A233" s="11" t="s">
        <v>73</v>
      </c>
      <c r="C233" s="12">
        <v>0</v>
      </c>
      <c r="J233" s="3"/>
    </row>
    <row r="234" spans="1:65" x14ac:dyDescent="0.25">
      <c r="A234" s="11" t="s">
        <v>72</v>
      </c>
      <c r="C234" s="12">
        <v>0</v>
      </c>
      <c r="I234" s="19"/>
    </row>
    <row r="235" spans="1:65" x14ac:dyDescent="0.25">
      <c r="A235" s="11" t="s">
        <v>74</v>
      </c>
      <c r="C235" s="12">
        <v>0</v>
      </c>
      <c r="F235" s="3"/>
    </row>
    <row r="236" spans="1:65" x14ac:dyDescent="0.25">
      <c r="A236" s="11" t="s">
        <v>67</v>
      </c>
      <c r="C236" s="12">
        <v>8219.1</v>
      </c>
    </row>
    <row r="237" spans="1:65" x14ac:dyDescent="0.25">
      <c r="A237" s="11" t="s">
        <v>68</v>
      </c>
      <c r="C237" s="12">
        <v>-17817.560000000001</v>
      </c>
      <c r="G237" s="3"/>
    </row>
    <row r="238" spans="1:65" x14ac:dyDescent="0.25">
      <c r="A238" s="11"/>
      <c r="C238" s="15">
        <f>SUM(C230:C237)</f>
        <v>254065.43999999994</v>
      </c>
    </row>
    <row r="239" spans="1:65" x14ac:dyDescent="0.25">
      <c r="A239" s="13"/>
      <c r="B239" s="14"/>
      <c r="C239" s="16">
        <f>+C238-Daily_Cost_Detail___Actual[[#Totals],[Cost Amount]]</f>
        <v>125708.87500000001</v>
      </c>
    </row>
    <row r="241" spans="1:4" x14ac:dyDescent="0.25">
      <c r="A241" s="24" t="str">
        <f>"WE " &amp; TEXT(MAX(Table_Pay_Journal__CSV[Period End Date]), "dd.mm.yy")</f>
        <v>WE 08.10.23</v>
      </c>
      <c r="B241" s="9"/>
      <c r="C241" s="21">
        <f>SUBTOTAL(9,Table_Pay_Journal__CSV[Gross])</f>
        <v>133179.84000000003</v>
      </c>
    </row>
    <row r="242" spans="1:4" x14ac:dyDescent="0.25">
      <c r="A242" s="11" t="s">
        <v>79</v>
      </c>
      <c r="C242" s="22">
        <v>0</v>
      </c>
    </row>
    <row r="243" spans="1:4" x14ac:dyDescent="0.25">
      <c r="A243" s="11" t="s">
        <v>80</v>
      </c>
      <c r="C243" s="22">
        <v>0</v>
      </c>
      <c r="D243" s="25"/>
    </row>
    <row r="244" spans="1:4" x14ac:dyDescent="0.25">
      <c r="A244" s="11" t="s">
        <v>73</v>
      </c>
      <c r="C244" s="22">
        <v>0</v>
      </c>
    </row>
    <row r="245" spans="1:4" x14ac:dyDescent="0.25">
      <c r="A245" s="11" t="s">
        <v>72</v>
      </c>
      <c r="C245" s="22">
        <f>-ROUND(SUBTOTAL(9,Table_Pay_Journal__CSV[Annual Leave ($)]) + SUBTOTAL(9,Table_Pay_Journal__CSV[Annual Leave Loading ($)]),2)</f>
        <v>-123.47</v>
      </c>
    </row>
    <row r="246" spans="1:4" x14ac:dyDescent="0.25">
      <c r="A246" s="11" t="s">
        <v>74</v>
      </c>
      <c r="C246" s="23">
        <v>0</v>
      </c>
    </row>
    <row r="247" spans="1:4" x14ac:dyDescent="0.25">
      <c r="A247" s="11" t="s">
        <v>67</v>
      </c>
      <c r="C247" s="23">
        <f>-ROUND(SUBTOTAL(9,Table_Pay_Journal__CSV[RDO Bank ($)]),2)</f>
        <v>5012.16</v>
      </c>
    </row>
    <row r="248" spans="1:4" x14ac:dyDescent="0.25">
      <c r="A248" s="11" t="s">
        <v>68</v>
      </c>
      <c r="C248" s="22">
        <v>-9711.8799999999992</v>
      </c>
      <c r="D248" t="s">
        <v>596</v>
      </c>
    </row>
    <row r="249" spans="1:4" x14ac:dyDescent="0.25">
      <c r="A249" s="11" t="s">
        <v>252</v>
      </c>
      <c r="C249" s="23">
        <f>SUM(C241:C248)</f>
        <v>128356.65000000002</v>
      </c>
    </row>
    <row r="250" spans="1:4" x14ac:dyDescent="0.25">
      <c r="A250" s="13" t="s">
        <v>253</v>
      </c>
      <c r="B250" s="14"/>
      <c r="C250" s="20">
        <f>C249-Daily_Cost_Detail___Actual[[#Totals],[Cost Amount]]</f>
        <v>8.5000000093714334E-2</v>
      </c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RunALL">
                <anchor moveWithCells="1" sizeWithCells="1">
                  <from>
                    <xdr:col>8</xdr:col>
                    <xdr:colOff>0</xdr:colOff>
                    <xdr:row>240</xdr:row>
                    <xdr:rowOff>0</xdr:rowOff>
                  </from>
                  <to>
                    <xdr:col>10</xdr:col>
                    <xdr:colOff>638175</xdr:colOff>
                    <xdr:row>242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RefreshAll">
                <anchor moveWithCells="1">
                  <from>
                    <xdr:col>4</xdr:col>
                    <xdr:colOff>9525</xdr:colOff>
                    <xdr:row>239</xdr:row>
                    <xdr:rowOff>180975</xdr:rowOff>
                  </from>
                  <to>
                    <xdr:col>7</xdr:col>
                    <xdr:colOff>0</xdr:colOff>
                    <xdr:row>242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6" name="Button 7">
              <controlPr defaultSize="0" print="0" autoFill="0" autoPict="0" macro="[0]!CheckAndCopyAndFormatCYP">
                <anchor moveWithCells="1" sizeWithCells="1">
                  <from>
                    <xdr:col>4</xdr:col>
                    <xdr:colOff>0</xdr:colOff>
                    <xdr:row>243</xdr:row>
                    <xdr:rowOff>9525</xdr:rowOff>
                  </from>
                  <to>
                    <xdr:col>7</xdr:col>
                    <xdr:colOff>0</xdr:colOff>
                    <xdr:row>245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7" name="Button 8">
              <controlPr defaultSize="0" print="0" autoFill="0" autoPict="0" macro="[0]!CheckEmptyRates">
                <anchor moveWithCells="1" sizeWithCells="1">
                  <from>
                    <xdr:col>8</xdr:col>
                    <xdr:colOff>0</xdr:colOff>
                    <xdr:row>242</xdr:row>
                    <xdr:rowOff>180975</xdr:rowOff>
                  </from>
                  <to>
                    <xdr:col>10</xdr:col>
                    <xdr:colOff>638175</xdr:colOff>
                    <xdr:row>245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258E1-E8EB-4EE9-84C1-EE0A60B0A557}">
  <sheetPr codeName="Sheet11">
    <tabColor rgb="FF7030A0"/>
  </sheetPr>
  <dimension ref="A1:CC123"/>
  <sheetViews>
    <sheetView workbookViewId="0">
      <selection sqref="A1:CC37"/>
    </sheetView>
  </sheetViews>
  <sheetFormatPr defaultRowHeight="15" outlineLevelRow="1" x14ac:dyDescent="0.25"/>
  <cols>
    <col min="1" max="1" width="20.140625" bestFit="1" customWidth="1"/>
    <col min="2" max="2" width="10.85546875" bestFit="1" customWidth="1"/>
    <col min="3" max="3" width="57.42578125" bestFit="1" customWidth="1"/>
    <col min="4" max="4" width="7.140625" bestFit="1" customWidth="1"/>
    <col min="5" max="5" width="7.28515625" bestFit="1" customWidth="1"/>
    <col min="6" max="6" width="10.42578125" bestFit="1" customWidth="1"/>
    <col min="7" max="7" width="8.5703125" bestFit="1" customWidth="1"/>
    <col min="8" max="8" width="24.42578125" bestFit="1" customWidth="1"/>
    <col min="9" max="9" width="8.5703125" bestFit="1" customWidth="1"/>
    <col min="10" max="10" width="9.5703125" bestFit="1" customWidth="1"/>
    <col min="11" max="11" width="21.42578125" bestFit="1" customWidth="1"/>
    <col min="12" max="12" width="19.140625" bestFit="1" customWidth="1"/>
    <col min="13" max="13" width="20" bestFit="1" customWidth="1"/>
    <col min="14" max="14" width="17.7109375" bestFit="1" customWidth="1"/>
    <col min="15" max="15" width="20.42578125" bestFit="1" customWidth="1"/>
    <col min="16" max="16" width="18.140625" bestFit="1" customWidth="1"/>
    <col min="17" max="17" width="28" bestFit="1" customWidth="1"/>
    <col min="18" max="18" width="25.7109375" bestFit="1" customWidth="1"/>
    <col min="19" max="19" width="18" bestFit="1" customWidth="1"/>
    <col min="20" max="20" width="15.85546875" bestFit="1" customWidth="1"/>
    <col min="21" max="21" width="17" bestFit="1" customWidth="1"/>
    <col min="22" max="22" width="14.7109375" bestFit="1" customWidth="1"/>
    <col min="23" max="23" width="23" bestFit="1" customWidth="1"/>
    <col min="24" max="24" width="20.85546875" bestFit="1" customWidth="1"/>
    <col min="25" max="25" width="20.7109375" bestFit="1" customWidth="1"/>
    <col min="26" max="26" width="13.140625" bestFit="1" customWidth="1"/>
    <col min="27" max="27" width="20" bestFit="1" customWidth="1"/>
    <col min="28" max="28" width="17.7109375" bestFit="1" customWidth="1"/>
    <col min="29" max="29" width="20.42578125" bestFit="1" customWidth="1"/>
    <col min="30" max="30" width="18.140625" bestFit="1" customWidth="1"/>
    <col min="31" max="31" width="20.7109375" bestFit="1" customWidth="1"/>
    <col min="32" max="32" width="18.42578125" bestFit="1" customWidth="1"/>
    <col min="33" max="33" width="42.28515625" bestFit="1" customWidth="1"/>
    <col min="34" max="34" width="40" bestFit="1" customWidth="1"/>
    <col min="35" max="35" width="32.85546875" bestFit="1" customWidth="1"/>
    <col min="36" max="36" width="29.140625" bestFit="1" customWidth="1"/>
    <col min="37" max="37" width="32" bestFit="1" customWidth="1"/>
    <col min="38" max="38" width="27.28515625" bestFit="1" customWidth="1"/>
    <col min="39" max="39" width="13.140625" bestFit="1" customWidth="1"/>
    <col min="40" max="40" width="18.28515625" bestFit="1" customWidth="1"/>
    <col min="41" max="41" width="32.7109375" bestFit="1" customWidth="1"/>
    <col min="42" max="42" width="28.140625" bestFit="1" customWidth="1"/>
    <col min="43" max="43" width="40" bestFit="1" customWidth="1"/>
    <col min="44" max="44" width="36.42578125" bestFit="1" customWidth="1"/>
    <col min="45" max="45" width="33.140625" bestFit="1" customWidth="1"/>
    <col min="46" max="46" width="15.42578125" bestFit="1" customWidth="1"/>
    <col min="47" max="47" width="13.140625" bestFit="1" customWidth="1"/>
    <col min="48" max="48" width="16" bestFit="1" customWidth="1"/>
    <col min="49" max="49" width="8.5703125" bestFit="1" customWidth="1"/>
    <col min="50" max="50" width="17.28515625" bestFit="1" customWidth="1"/>
    <col min="51" max="51" width="7.5703125" bestFit="1" customWidth="1"/>
    <col min="52" max="52" width="17.5703125" bestFit="1" customWidth="1"/>
    <col min="53" max="53" width="11.140625" bestFit="1" customWidth="1"/>
    <col min="54" max="54" width="26.42578125" bestFit="1" customWidth="1"/>
    <col min="55" max="55" width="21" bestFit="1" customWidth="1"/>
    <col min="56" max="56" width="34.42578125" bestFit="1" customWidth="1"/>
    <col min="57" max="57" width="27.42578125" bestFit="1" customWidth="1"/>
    <col min="58" max="58" width="27.140625" bestFit="1" customWidth="1"/>
    <col min="59" max="59" width="24.140625" bestFit="1" customWidth="1"/>
    <col min="60" max="63" width="5.28515625" bestFit="1" customWidth="1"/>
    <col min="64" max="64" width="24.28515625" bestFit="1" customWidth="1"/>
    <col min="65" max="65" width="11.140625" bestFit="1" customWidth="1"/>
    <col min="66" max="66" width="11.5703125" bestFit="1" customWidth="1"/>
    <col min="67" max="67" width="14.7109375" bestFit="1" customWidth="1"/>
    <col min="68" max="68" width="10.7109375" bestFit="1" customWidth="1"/>
    <col min="69" max="69" width="7" bestFit="1" customWidth="1"/>
    <col min="70" max="70" width="10.28515625" bestFit="1" customWidth="1"/>
    <col min="71" max="71" width="6" bestFit="1" customWidth="1"/>
    <col min="72" max="72" width="7" bestFit="1" customWidth="1"/>
    <col min="73" max="73" width="16.5703125" bestFit="1" customWidth="1"/>
    <col min="74" max="74" width="26.85546875" bestFit="1" customWidth="1"/>
    <col min="75" max="75" width="12.85546875" bestFit="1" customWidth="1"/>
    <col min="76" max="76" width="17" bestFit="1" customWidth="1"/>
    <col min="77" max="77" width="30.85546875" bestFit="1" customWidth="1"/>
    <col min="78" max="78" width="12.85546875" bestFit="1" customWidth="1"/>
    <col min="79" max="79" width="26" bestFit="1" customWidth="1"/>
    <col min="80" max="80" width="33.28515625" bestFit="1" customWidth="1"/>
    <col min="81" max="82" width="18.5703125" bestFit="1" customWidth="1"/>
    <col min="83" max="83" width="12.85546875" bestFit="1" customWidth="1"/>
    <col min="84" max="84" width="17" bestFit="1" customWidth="1"/>
    <col min="85" max="85" width="30.85546875" bestFit="1" customWidth="1"/>
    <col min="86" max="86" width="12.85546875" bestFit="1" customWidth="1"/>
    <col min="87" max="87" width="26" bestFit="1" customWidth="1"/>
    <col min="88" max="88" width="33.28515625" bestFit="1" customWidth="1"/>
    <col min="89" max="89" width="18.5703125" bestFit="1" customWidth="1"/>
    <col min="90" max="90" width="17" bestFit="1" customWidth="1"/>
    <col min="91" max="91" width="30.85546875" bestFit="1" customWidth="1"/>
    <col min="92" max="92" width="12.85546875" bestFit="1" customWidth="1"/>
    <col min="93" max="93" width="26" bestFit="1" customWidth="1"/>
    <col min="94" max="94" width="33.28515625" bestFit="1" customWidth="1"/>
    <col min="95" max="95" width="18.5703125" bestFit="1" customWidth="1"/>
    <col min="96" max="96" width="26" bestFit="1" customWidth="1"/>
    <col min="97" max="97" width="33.28515625" bestFit="1" customWidth="1"/>
    <col min="98" max="98" width="18.5703125" bestFit="1" customWidth="1"/>
    <col min="99" max="99" width="12.85546875" customWidth="1"/>
    <col min="100" max="100" width="26" bestFit="1" customWidth="1"/>
    <col min="101" max="101" width="33.28515625" bestFit="1" customWidth="1"/>
    <col min="102" max="102" width="18.5703125" bestFit="1" customWidth="1"/>
    <col min="103" max="103" width="30.85546875" bestFit="1" customWidth="1"/>
    <col min="104" max="104" width="12.85546875" bestFit="1" customWidth="1"/>
    <col min="105" max="105" width="26" bestFit="1" customWidth="1"/>
    <col min="106" max="106" width="33.28515625" bestFit="1" customWidth="1"/>
    <col min="107" max="107" width="18.5703125" bestFit="1" customWidth="1"/>
    <col min="108" max="108" width="26" bestFit="1" customWidth="1"/>
    <col min="109" max="109" width="33.28515625" bestFit="1" customWidth="1"/>
    <col min="110" max="110" width="18.5703125" bestFit="1" customWidth="1"/>
    <col min="111" max="111" width="12.85546875" bestFit="1" customWidth="1"/>
    <col min="112" max="112" width="26" bestFit="1" customWidth="1"/>
    <col min="113" max="113" width="33.28515625" bestFit="1" customWidth="1"/>
    <col min="114" max="114" width="18.5703125" customWidth="1"/>
    <col min="115" max="115" width="12.85546875" bestFit="1" customWidth="1"/>
    <col min="116" max="116" width="17" bestFit="1" customWidth="1"/>
    <col min="117" max="117" width="30.85546875" bestFit="1" customWidth="1"/>
    <col min="118" max="118" width="12.85546875" bestFit="1" customWidth="1"/>
    <col min="119" max="119" width="26" bestFit="1" customWidth="1"/>
    <col min="120" max="120" width="33.28515625" bestFit="1" customWidth="1"/>
    <col min="121" max="121" width="18.5703125" bestFit="1" customWidth="1"/>
    <col min="122" max="122" width="30.85546875" bestFit="1" customWidth="1"/>
    <col min="123" max="123" width="12.85546875" customWidth="1"/>
    <col min="124" max="124" width="26" bestFit="1" customWidth="1"/>
    <col min="125" max="125" width="33.28515625" bestFit="1" customWidth="1"/>
    <col min="126" max="126" width="18.5703125" bestFit="1" customWidth="1"/>
    <col min="127" max="127" width="33.28515625" bestFit="1" customWidth="1"/>
    <col min="128" max="128" width="18.5703125" bestFit="1" customWidth="1"/>
    <col min="129" max="129" width="17" bestFit="1" customWidth="1"/>
    <col min="130" max="130" width="30.85546875" bestFit="1" customWidth="1"/>
    <col min="131" max="131" width="12.85546875" bestFit="1" customWidth="1"/>
    <col min="132" max="132" width="26" bestFit="1" customWidth="1"/>
    <col min="133" max="133" width="33.28515625" bestFit="1" customWidth="1"/>
    <col min="134" max="134" width="18.5703125" bestFit="1" customWidth="1"/>
    <col min="135" max="135" width="26" bestFit="1" customWidth="1"/>
    <col min="136" max="136" width="33.28515625" bestFit="1" customWidth="1"/>
    <col min="137" max="137" width="18.5703125" bestFit="1" customWidth="1"/>
    <col min="138" max="138" width="12.85546875" customWidth="1"/>
    <col min="139" max="139" width="26" bestFit="1" customWidth="1"/>
    <col min="140" max="140" width="33.28515625" bestFit="1" customWidth="1"/>
    <col min="141" max="141" width="18.5703125" bestFit="1" customWidth="1"/>
    <col min="142" max="142" width="33.28515625" bestFit="1" customWidth="1"/>
    <col min="143" max="143" width="18.5703125" bestFit="1" customWidth="1"/>
    <col min="144" max="144" width="17" bestFit="1" customWidth="1"/>
    <col min="145" max="145" width="30.85546875" bestFit="1" customWidth="1"/>
    <col min="146" max="146" width="12.85546875" bestFit="1" customWidth="1"/>
    <col min="147" max="147" width="26" bestFit="1" customWidth="1"/>
    <col min="148" max="148" width="33.28515625" bestFit="1" customWidth="1"/>
    <col min="149" max="149" width="18.5703125" bestFit="1" customWidth="1"/>
    <col min="150" max="150" width="26.85546875" bestFit="1" customWidth="1"/>
    <col min="151" max="151" width="12.85546875" bestFit="1" customWidth="1"/>
    <col min="152" max="152" width="17" bestFit="1" customWidth="1"/>
    <col min="153" max="153" width="30.85546875" bestFit="1" customWidth="1"/>
    <col min="154" max="154" width="12.85546875" customWidth="1"/>
    <col min="155" max="155" width="26" bestFit="1" customWidth="1"/>
    <col min="156" max="156" width="33.28515625" bestFit="1" customWidth="1"/>
    <col min="157" max="157" width="18.5703125" bestFit="1" customWidth="1"/>
    <col min="158" max="158" width="17" bestFit="1" customWidth="1"/>
    <col min="159" max="159" width="30.85546875" bestFit="1" customWidth="1"/>
    <col min="160" max="160" width="12.85546875" bestFit="1" customWidth="1"/>
    <col min="161" max="161" width="26" bestFit="1" customWidth="1"/>
    <col min="162" max="162" width="33.28515625" bestFit="1" customWidth="1"/>
    <col min="163" max="163" width="18.5703125" bestFit="1" customWidth="1"/>
    <col min="164" max="164" width="16.42578125" bestFit="1" customWidth="1"/>
    <col min="165" max="165" width="29.5703125" bestFit="1" customWidth="1"/>
    <col min="166" max="166" width="12.42578125" bestFit="1" customWidth="1"/>
    <col min="167" max="167" width="24.85546875" bestFit="1" customWidth="1"/>
    <col min="168" max="168" width="31.85546875" bestFit="1" customWidth="1"/>
    <col min="169" max="169" width="17.85546875" bestFit="1" customWidth="1"/>
    <col min="170" max="170" width="6.85546875" bestFit="1" customWidth="1"/>
    <col min="171" max="171" width="15.85546875" bestFit="1" customWidth="1"/>
    <col min="172" max="172" width="25.7109375" bestFit="1" customWidth="1"/>
    <col min="173" max="173" width="12.42578125" bestFit="1" customWidth="1"/>
    <col min="174" max="174" width="16.42578125" bestFit="1" customWidth="1"/>
    <col min="175" max="175" width="29.5703125" bestFit="1" customWidth="1"/>
    <col min="176" max="176" width="12.42578125" bestFit="1" customWidth="1"/>
    <col min="177" max="177" width="24.85546875" bestFit="1" customWidth="1"/>
    <col min="178" max="178" width="31.85546875" bestFit="1" customWidth="1"/>
    <col min="179" max="179" width="17.85546875" bestFit="1" customWidth="1"/>
    <col min="180" max="180" width="12.85546875" bestFit="1" customWidth="1"/>
    <col min="181" max="181" width="26" bestFit="1" customWidth="1"/>
    <col min="182" max="182" width="33.28515625" bestFit="1" customWidth="1"/>
    <col min="183" max="183" width="18.5703125" bestFit="1" customWidth="1"/>
    <col min="184" max="184" width="12.85546875" bestFit="1" customWidth="1"/>
    <col min="185" max="185" width="17" bestFit="1" customWidth="1"/>
    <col min="186" max="186" width="12.85546875" bestFit="1" customWidth="1"/>
    <col min="187" max="187" width="26" bestFit="1" customWidth="1"/>
    <col min="188" max="188" width="33.28515625" bestFit="1" customWidth="1"/>
    <col min="189" max="189" width="18.5703125" bestFit="1" customWidth="1"/>
    <col min="190" max="190" width="12.85546875" bestFit="1" customWidth="1"/>
    <col min="191" max="191" width="26" bestFit="1" customWidth="1"/>
    <col min="192" max="192" width="33.28515625" bestFit="1" customWidth="1"/>
    <col min="193" max="193" width="18.5703125" bestFit="1" customWidth="1"/>
    <col min="194" max="194" width="16.5703125" bestFit="1" customWidth="1"/>
    <col min="195" max="195" width="26.85546875" bestFit="1" customWidth="1"/>
    <col min="196" max="196" width="12.85546875" bestFit="1" customWidth="1"/>
    <col min="197" max="197" width="17" bestFit="1" customWidth="1"/>
    <col min="198" max="198" width="12.85546875" customWidth="1"/>
    <col min="199" max="199" width="26" bestFit="1" customWidth="1"/>
    <col min="200" max="200" width="33.28515625" bestFit="1" customWidth="1"/>
    <col min="201" max="201" width="18.5703125" bestFit="1" customWidth="1"/>
    <col min="202" max="202" width="17" bestFit="1" customWidth="1"/>
    <col min="203" max="203" width="12.85546875" bestFit="1" customWidth="1"/>
    <col min="204" max="204" width="26" bestFit="1" customWidth="1"/>
    <col min="205" max="205" width="33.28515625" bestFit="1" customWidth="1"/>
    <col min="206" max="206" width="18.5703125" bestFit="1" customWidth="1"/>
    <col min="207" max="207" width="12.85546875" bestFit="1" customWidth="1"/>
    <col min="208" max="208" width="17" bestFit="1" customWidth="1"/>
    <col min="209" max="209" width="12.85546875" bestFit="1" customWidth="1"/>
    <col min="210" max="210" width="26" bestFit="1" customWidth="1"/>
    <col min="211" max="211" width="33.28515625" bestFit="1" customWidth="1"/>
    <col min="212" max="212" width="18.5703125" bestFit="1" customWidth="1"/>
    <col min="213" max="213" width="16.5703125" bestFit="1" customWidth="1"/>
    <col min="214" max="214" width="26.85546875" bestFit="1" customWidth="1"/>
    <col min="215" max="215" width="12.85546875" bestFit="1" customWidth="1"/>
    <col min="216" max="216" width="17" bestFit="1" customWidth="1"/>
    <col min="217" max="217" width="12.85546875" bestFit="1" customWidth="1"/>
    <col min="218" max="218" width="26" bestFit="1" customWidth="1"/>
    <col min="219" max="219" width="33.28515625" bestFit="1" customWidth="1"/>
    <col min="220" max="220" width="18.5703125" bestFit="1" customWidth="1"/>
    <col min="221" max="221" width="12.85546875" bestFit="1" customWidth="1"/>
    <col min="222" max="222" width="26" bestFit="1" customWidth="1"/>
    <col min="223" max="223" width="33.28515625" bestFit="1" customWidth="1"/>
    <col min="224" max="224" width="18.5703125" bestFit="1" customWidth="1"/>
    <col min="225" max="225" width="12.85546875" bestFit="1" customWidth="1"/>
    <col min="226" max="226" width="26" bestFit="1" customWidth="1"/>
    <col min="227" max="227" width="33.28515625" bestFit="1" customWidth="1"/>
    <col min="228" max="228" width="18.5703125" bestFit="1" customWidth="1"/>
    <col min="229" max="229" width="33.28515625" bestFit="1" customWidth="1"/>
    <col min="230" max="230" width="18.5703125" bestFit="1" customWidth="1"/>
    <col min="231" max="231" width="16.5703125" bestFit="1" customWidth="1"/>
    <col min="232" max="232" width="26.85546875" bestFit="1" customWidth="1"/>
    <col min="233" max="233" width="12.85546875" bestFit="1" customWidth="1"/>
    <col min="234" max="234" width="17" bestFit="1" customWidth="1"/>
    <col min="235" max="235" width="12.85546875" bestFit="1" customWidth="1"/>
    <col min="236" max="236" width="26" bestFit="1" customWidth="1"/>
    <col min="237" max="237" width="33.28515625" bestFit="1" customWidth="1"/>
    <col min="238" max="238" width="18.5703125" bestFit="1" customWidth="1"/>
    <col min="239" max="239" width="33.28515625" bestFit="1" customWidth="1"/>
    <col min="240" max="240" width="18.5703125" bestFit="1" customWidth="1"/>
    <col min="241" max="241" width="33.28515625" bestFit="1" customWidth="1"/>
    <col min="242" max="242" width="18.5703125" bestFit="1" customWidth="1"/>
    <col min="243" max="243" width="16.5703125" bestFit="1" customWidth="1"/>
    <col min="244" max="244" width="26.85546875" bestFit="1" customWidth="1"/>
    <col min="245" max="245" width="12.85546875" bestFit="1" customWidth="1"/>
    <col min="246" max="246" width="17" bestFit="1" customWidth="1"/>
    <col min="247" max="247" width="12.85546875" bestFit="1" customWidth="1"/>
    <col min="248" max="248" width="26" bestFit="1" customWidth="1"/>
    <col min="249" max="249" width="33.28515625" bestFit="1" customWidth="1"/>
    <col min="250" max="250" width="18.5703125" bestFit="1" customWidth="1"/>
    <col min="251" max="251" width="16.5703125" bestFit="1" customWidth="1"/>
    <col min="252" max="252" width="26.85546875" bestFit="1" customWidth="1"/>
    <col min="253" max="253" width="12.85546875" bestFit="1" customWidth="1"/>
    <col min="254" max="254" width="17" bestFit="1" customWidth="1"/>
    <col min="255" max="255" width="12.85546875" bestFit="1" customWidth="1"/>
    <col min="256" max="256" width="26" bestFit="1" customWidth="1"/>
    <col min="257" max="257" width="33.28515625" bestFit="1" customWidth="1"/>
    <col min="258" max="258" width="18.5703125" bestFit="1" customWidth="1"/>
    <col min="259" max="260" width="7" bestFit="1" customWidth="1"/>
    <col min="261" max="261" width="16.5703125" bestFit="1" customWidth="1"/>
    <col min="262" max="262" width="26.85546875" bestFit="1" customWidth="1"/>
    <col min="263" max="263" width="12.85546875" customWidth="1"/>
    <col min="264" max="264" width="17" bestFit="1" customWidth="1"/>
    <col min="265" max="265" width="12.85546875" customWidth="1"/>
    <col min="266" max="266" width="26" bestFit="1" customWidth="1"/>
    <col min="267" max="267" width="33.28515625" bestFit="1" customWidth="1"/>
    <col min="268" max="268" width="18.5703125" bestFit="1" customWidth="1"/>
    <col min="269" max="269" width="17" bestFit="1" customWidth="1"/>
    <col min="270" max="270" width="12.85546875" customWidth="1"/>
    <col min="271" max="271" width="26" bestFit="1" customWidth="1"/>
    <col min="272" max="272" width="33.28515625" bestFit="1" customWidth="1"/>
    <col min="273" max="273" width="18.5703125" bestFit="1" customWidth="1"/>
    <col min="274" max="274" width="26" bestFit="1" customWidth="1"/>
    <col min="275" max="275" width="33.28515625" bestFit="1" customWidth="1"/>
    <col min="276" max="276" width="18.5703125" bestFit="1" customWidth="1"/>
    <col min="277" max="277" width="10.7109375" bestFit="1" customWidth="1"/>
    <col min="278" max="278" width="7" bestFit="1" customWidth="1"/>
    <col min="279" max="279" width="10.28515625" bestFit="1" customWidth="1"/>
    <col min="280" max="281" width="7" bestFit="1" customWidth="1"/>
    <col min="282" max="282" width="16.5703125" bestFit="1" customWidth="1"/>
    <col min="283" max="283" width="26.85546875" bestFit="1" customWidth="1"/>
    <col min="284" max="284" width="12.85546875" bestFit="1" customWidth="1"/>
    <col min="285" max="285" width="17" bestFit="1" customWidth="1"/>
    <col min="286" max="286" width="12.85546875" bestFit="1" customWidth="1"/>
    <col min="287" max="287" width="26" bestFit="1" customWidth="1"/>
    <col min="288" max="288" width="33.28515625" bestFit="1" customWidth="1"/>
    <col min="289" max="289" width="18.5703125" bestFit="1" customWidth="1"/>
    <col min="290" max="290" width="33.28515625" bestFit="1" customWidth="1"/>
    <col min="291" max="291" width="18.5703125" bestFit="1" customWidth="1"/>
    <col min="292" max="292" width="16.5703125" bestFit="1" customWidth="1"/>
    <col min="293" max="293" width="26.85546875" bestFit="1" customWidth="1"/>
    <col min="294" max="294" width="12.85546875" customWidth="1"/>
    <col min="295" max="295" width="17" bestFit="1" customWidth="1"/>
    <col min="296" max="296" width="12.85546875" customWidth="1"/>
    <col min="297" max="297" width="26" bestFit="1" customWidth="1"/>
    <col min="298" max="298" width="33.28515625" bestFit="1" customWidth="1"/>
    <col min="299" max="299" width="18.5703125" bestFit="1" customWidth="1"/>
    <col min="300" max="300" width="17" bestFit="1" customWidth="1"/>
    <col min="301" max="301" width="12.85546875" customWidth="1"/>
    <col min="302" max="302" width="26" bestFit="1" customWidth="1"/>
    <col min="303" max="303" width="33.28515625" bestFit="1" customWidth="1"/>
    <col min="304" max="304" width="18.5703125" bestFit="1" customWidth="1"/>
    <col min="305" max="305" width="26" bestFit="1" customWidth="1"/>
    <col min="306" max="306" width="33.28515625" bestFit="1" customWidth="1"/>
    <col min="307" max="307" width="18.5703125" bestFit="1" customWidth="1"/>
    <col min="308" max="308" width="17" customWidth="1"/>
    <col min="309" max="309" width="12.85546875" bestFit="1" customWidth="1"/>
    <col min="310" max="310" width="26" bestFit="1" customWidth="1"/>
    <col min="311" max="311" width="33.28515625" bestFit="1" customWidth="1"/>
    <col min="312" max="312" width="18.5703125" bestFit="1" customWidth="1"/>
    <col min="313" max="313" width="12.85546875" bestFit="1" customWidth="1"/>
    <col min="314" max="314" width="26" bestFit="1" customWidth="1"/>
    <col min="315" max="315" width="33.28515625" bestFit="1" customWidth="1"/>
    <col min="316" max="316" width="18.5703125" bestFit="1" customWidth="1"/>
    <col min="317" max="317" width="12.85546875" bestFit="1" customWidth="1"/>
    <col min="318" max="318" width="17" bestFit="1" customWidth="1"/>
    <col min="319" max="319" width="12.85546875" bestFit="1" customWidth="1"/>
    <col min="320" max="320" width="26" bestFit="1" customWidth="1"/>
    <col min="321" max="321" width="33.28515625" bestFit="1" customWidth="1"/>
    <col min="322" max="322" width="18.5703125" bestFit="1" customWidth="1"/>
    <col min="323" max="323" width="12.85546875" bestFit="1" customWidth="1"/>
    <col min="324" max="324" width="17" bestFit="1" customWidth="1"/>
    <col min="325" max="325" width="12.85546875" bestFit="1" customWidth="1"/>
    <col min="326" max="326" width="26" bestFit="1" customWidth="1"/>
    <col min="327" max="327" width="33.28515625" bestFit="1" customWidth="1"/>
    <col min="328" max="328" width="18.5703125" bestFit="1" customWidth="1"/>
    <col min="329" max="329" width="26" bestFit="1" customWidth="1"/>
    <col min="330" max="330" width="33.28515625" bestFit="1" customWidth="1"/>
    <col min="331" max="331" width="18.5703125" bestFit="1" customWidth="1"/>
    <col min="332" max="332" width="33.28515625" bestFit="1" customWidth="1"/>
    <col min="333" max="333" width="18.5703125" bestFit="1" customWidth="1"/>
    <col min="334" max="334" width="12.85546875" bestFit="1" customWidth="1"/>
    <col min="335" max="335" width="26" bestFit="1" customWidth="1"/>
    <col min="336" max="336" width="33.28515625" bestFit="1" customWidth="1"/>
    <col min="337" max="337" width="18.5703125" bestFit="1" customWidth="1"/>
    <col min="338" max="338" width="12.85546875" customWidth="1"/>
    <col min="339" max="339" width="26" bestFit="1" customWidth="1"/>
    <col min="340" max="340" width="33.28515625" bestFit="1" customWidth="1"/>
    <col min="341" max="341" width="18.5703125" bestFit="1" customWidth="1"/>
    <col min="342" max="342" width="26" bestFit="1" customWidth="1"/>
    <col min="343" max="343" width="33.28515625" bestFit="1" customWidth="1"/>
    <col min="344" max="344" width="18.5703125" bestFit="1" customWidth="1"/>
    <col min="345" max="345" width="17" bestFit="1" customWidth="1"/>
    <col min="346" max="346" width="12.85546875" bestFit="1" customWidth="1"/>
    <col min="347" max="347" width="26" bestFit="1" customWidth="1"/>
    <col min="348" max="348" width="33.28515625" bestFit="1" customWidth="1"/>
    <col min="349" max="349" width="18.5703125" bestFit="1" customWidth="1"/>
    <col min="350" max="350" width="26" bestFit="1" customWidth="1"/>
    <col min="351" max="351" width="33.28515625" bestFit="1" customWidth="1"/>
    <col min="352" max="352" width="18.5703125" bestFit="1" customWidth="1"/>
    <col min="353" max="353" width="26" bestFit="1" customWidth="1"/>
    <col min="354" max="354" width="33.28515625" bestFit="1" customWidth="1"/>
    <col min="355" max="355" width="18.5703125" bestFit="1" customWidth="1"/>
    <col min="356" max="356" width="26" bestFit="1" customWidth="1"/>
    <col min="357" max="357" width="33.28515625" bestFit="1" customWidth="1"/>
    <col min="358" max="358" width="18.5703125" bestFit="1" customWidth="1"/>
    <col min="359" max="359" width="26" bestFit="1" customWidth="1"/>
    <col min="360" max="360" width="33.28515625" bestFit="1" customWidth="1"/>
    <col min="361" max="361" width="18.5703125" bestFit="1" customWidth="1"/>
    <col min="362" max="362" width="12.85546875" customWidth="1"/>
    <col min="363" max="363" width="26" bestFit="1" customWidth="1"/>
    <col min="364" max="364" width="33.28515625" bestFit="1" customWidth="1"/>
    <col min="365" max="365" width="18.5703125" bestFit="1" customWidth="1"/>
    <col min="366" max="366" width="26" bestFit="1" customWidth="1"/>
    <col min="367" max="367" width="33.28515625" bestFit="1" customWidth="1"/>
    <col min="368" max="368" width="18.5703125" bestFit="1" customWidth="1"/>
    <col min="369" max="369" width="26" bestFit="1" customWidth="1"/>
    <col min="370" max="370" width="33.28515625" bestFit="1" customWidth="1"/>
    <col min="371" max="371" width="18.5703125" bestFit="1" customWidth="1"/>
    <col min="372" max="372" width="17" bestFit="1" customWidth="1"/>
    <col min="373" max="373" width="12.85546875" bestFit="1" customWidth="1"/>
    <col min="374" max="374" width="26" bestFit="1" customWidth="1"/>
    <col min="375" max="375" width="33.28515625" bestFit="1" customWidth="1"/>
    <col min="376" max="376" width="18.5703125" bestFit="1" customWidth="1"/>
    <col min="377" max="377" width="12.85546875" bestFit="1" customWidth="1"/>
    <col min="378" max="378" width="26" bestFit="1" customWidth="1"/>
    <col min="379" max="379" width="33.28515625" bestFit="1" customWidth="1"/>
    <col min="380" max="380" width="18.5703125" bestFit="1" customWidth="1"/>
    <col min="381" max="381" width="12.85546875" customWidth="1"/>
    <col min="382" max="382" width="17" bestFit="1" customWidth="1"/>
    <col min="383" max="383" width="12.85546875" customWidth="1"/>
    <col min="384" max="384" width="26" bestFit="1" customWidth="1"/>
    <col min="385" max="385" width="33.28515625" bestFit="1" customWidth="1"/>
    <col min="386" max="386" width="18.5703125" bestFit="1" customWidth="1"/>
    <col min="387" max="387" width="17" bestFit="1" customWidth="1"/>
    <col min="388" max="388" width="12.85546875" bestFit="1" customWidth="1"/>
    <col min="389" max="389" width="26" bestFit="1" customWidth="1"/>
    <col min="390" max="390" width="33.28515625" bestFit="1" customWidth="1"/>
    <col min="391" max="391" width="18.5703125" bestFit="1" customWidth="1"/>
    <col min="392" max="392" width="12.85546875" customWidth="1"/>
    <col min="393" max="393" width="26" bestFit="1" customWidth="1"/>
    <col min="394" max="394" width="33.28515625" bestFit="1" customWidth="1"/>
    <col min="395" max="395" width="18.5703125" bestFit="1" customWidth="1"/>
    <col min="396" max="396" width="33.28515625" bestFit="1" customWidth="1"/>
    <col min="397" max="397" width="18.5703125" bestFit="1" customWidth="1"/>
    <col min="398" max="398" width="33.28515625" bestFit="1" customWidth="1"/>
    <col min="399" max="399" width="18.5703125" bestFit="1" customWidth="1"/>
    <col min="400" max="400" width="33.28515625" bestFit="1" customWidth="1"/>
    <col min="401" max="401" width="18.5703125" bestFit="1" customWidth="1"/>
    <col min="402" max="402" width="33.28515625" bestFit="1" customWidth="1"/>
    <col min="403" max="403" width="18.5703125" bestFit="1" customWidth="1"/>
    <col min="404" max="404" width="17" bestFit="1" customWidth="1"/>
    <col min="405" max="405" width="12.85546875" bestFit="1" customWidth="1"/>
    <col min="406" max="406" width="26" bestFit="1" customWidth="1"/>
    <col min="407" max="407" width="33.28515625" bestFit="1" customWidth="1"/>
    <col min="408" max="408" width="18.5703125" bestFit="1" customWidth="1"/>
    <col min="409" max="409" width="26.85546875" bestFit="1" customWidth="1"/>
    <col min="410" max="410" width="12.85546875" bestFit="1" customWidth="1"/>
    <col min="411" max="411" width="17" bestFit="1" customWidth="1"/>
    <col min="412" max="412" width="12.85546875" customWidth="1"/>
    <col min="413" max="413" width="26" bestFit="1" customWidth="1"/>
    <col min="414" max="414" width="33.28515625" bestFit="1" customWidth="1"/>
    <col min="415" max="415" width="18.5703125" bestFit="1" customWidth="1"/>
    <col min="416" max="416" width="17" bestFit="1" customWidth="1"/>
    <col min="417" max="417" width="12.85546875" bestFit="1" customWidth="1"/>
    <col min="418" max="418" width="26" bestFit="1" customWidth="1"/>
    <col min="419" max="419" width="33.28515625" bestFit="1" customWidth="1"/>
    <col min="420" max="420" width="18.5703125" bestFit="1" customWidth="1"/>
    <col min="421" max="421" width="15.85546875" bestFit="1" customWidth="1"/>
    <col min="422" max="422" width="12.140625" bestFit="1" customWidth="1"/>
    <col min="423" max="423" width="24.28515625" bestFit="1" customWidth="1"/>
    <col min="424" max="424" width="30.85546875" bestFit="1" customWidth="1"/>
    <col min="425" max="425" width="17.42578125" bestFit="1" customWidth="1"/>
    <col min="426" max="426" width="12.85546875" customWidth="1"/>
    <col min="427" max="427" width="26" bestFit="1" customWidth="1"/>
    <col min="428" max="428" width="33.28515625" bestFit="1" customWidth="1"/>
    <col min="429" max="429" width="18.5703125" bestFit="1" customWidth="1"/>
    <col min="430" max="430" width="17" bestFit="1" customWidth="1"/>
    <col min="431" max="431" width="12.85546875" bestFit="1" customWidth="1"/>
    <col min="432" max="432" width="26" bestFit="1" customWidth="1"/>
    <col min="433" max="433" width="33.28515625" bestFit="1" customWidth="1"/>
    <col min="434" max="434" width="18.5703125" bestFit="1" customWidth="1"/>
    <col min="435" max="435" width="16.5703125" bestFit="1" customWidth="1"/>
    <col min="436" max="436" width="26.85546875" bestFit="1" customWidth="1"/>
    <col min="437" max="437" width="12.85546875" customWidth="1"/>
    <col min="438" max="438" width="17" bestFit="1" customWidth="1"/>
    <col min="439" max="439" width="12.85546875" customWidth="1"/>
    <col min="440" max="440" width="26" bestFit="1" customWidth="1"/>
    <col min="441" max="441" width="33.28515625" bestFit="1" customWidth="1"/>
    <col min="442" max="442" width="18.5703125" bestFit="1" customWidth="1"/>
    <col min="443" max="443" width="17" bestFit="1" customWidth="1"/>
    <col min="444" max="444" width="12.85546875" bestFit="1" customWidth="1"/>
    <col min="445" max="445" width="26" bestFit="1" customWidth="1"/>
    <col min="446" max="446" width="33.28515625" bestFit="1" customWidth="1"/>
    <col min="447" max="447" width="18.5703125" bestFit="1" customWidth="1"/>
    <col min="448" max="448" width="16.5703125" bestFit="1" customWidth="1"/>
    <col min="449" max="449" width="26.85546875" bestFit="1" customWidth="1"/>
    <col min="450" max="450" width="12.85546875" bestFit="1" customWidth="1"/>
    <col min="451" max="451" width="17" bestFit="1" customWidth="1"/>
    <col min="452" max="452" width="12.85546875" bestFit="1" customWidth="1"/>
    <col min="453" max="453" width="26" bestFit="1" customWidth="1"/>
    <col min="454" max="454" width="33.28515625" bestFit="1" customWidth="1"/>
    <col min="455" max="455" width="18.5703125" bestFit="1" customWidth="1"/>
  </cols>
  <sheetData>
    <row r="1" spans="1:81" x14ac:dyDescent="0.25">
      <c r="A1" t="s">
        <v>0</v>
      </c>
      <c r="B1" t="s">
        <v>38</v>
      </c>
      <c r="C1" t="s">
        <v>46</v>
      </c>
      <c r="D1" t="s">
        <v>17</v>
      </c>
      <c r="E1" t="s">
        <v>42</v>
      </c>
      <c r="F1" t="s">
        <v>41</v>
      </c>
      <c r="G1" t="s">
        <v>43</v>
      </c>
      <c r="H1" t="s">
        <v>11</v>
      </c>
      <c r="I1" t="s">
        <v>36</v>
      </c>
      <c r="J1" t="s">
        <v>65</v>
      </c>
      <c r="K1" t="s">
        <v>124</v>
      </c>
      <c r="L1" t="s">
        <v>125</v>
      </c>
      <c r="M1" t="s">
        <v>126</v>
      </c>
      <c r="N1" t="s">
        <v>127</v>
      </c>
      <c r="O1" t="s">
        <v>418</v>
      </c>
      <c r="P1" t="s">
        <v>419</v>
      </c>
      <c r="Q1" t="s">
        <v>420</v>
      </c>
      <c r="R1" t="s">
        <v>421</v>
      </c>
      <c r="S1" t="s">
        <v>366</v>
      </c>
      <c r="T1" t="s">
        <v>367</v>
      </c>
      <c r="U1" t="s">
        <v>128</v>
      </c>
      <c r="V1" t="s">
        <v>129</v>
      </c>
      <c r="W1" t="s">
        <v>163</v>
      </c>
      <c r="X1" t="s">
        <v>164</v>
      </c>
      <c r="Y1" t="s">
        <v>47</v>
      </c>
      <c r="Z1" t="s">
        <v>48</v>
      </c>
      <c r="AA1" t="s">
        <v>130</v>
      </c>
      <c r="AB1" t="s">
        <v>131</v>
      </c>
      <c r="AC1" t="s">
        <v>165</v>
      </c>
      <c r="AD1" t="s">
        <v>166</v>
      </c>
      <c r="AE1" t="s">
        <v>422</v>
      </c>
      <c r="AF1" t="s">
        <v>423</v>
      </c>
      <c r="AG1" t="s">
        <v>88</v>
      </c>
      <c r="AH1" t="s">
        <v>89</v>
      </c>
      <c r="AI1" t="s">
        <v>240</v>
      </c>
      <c r="AJ1" t="s">
        <v>241</v>
      </c>
      <c r="AK1" t="s">
        <v>242</v>
      </c>
      <c r="AL1" t="s">
        <v>243</v>
      </c>
      <c r="AM1" t="s">
        <v>49</v>
      </c>
      <c r="AN1" t="s">
        <v>50</v>
      </c>
      <c r="AO1" t="s">
        <v>262</v>
      </c>
      <c r="AP1" t="s">
        <v>263</v>
      </c>
      <c r="AQ1" t="s">
        <v>299</v>
      </c>
      <c r="AR1" t="s">
        <v>300</v>
      </c>
      <c r="AS1" t="s">
        <v>171</v>
      </c>
      <c r="AT1" t="s">
        <v>244</v>
      </c>
      <c r="AU1" t="s">
        <v>270</v>
      </c>
      <c r="AV1" t="s">
        <v>51</v>
      </c>
      <c r="AW1" t="s">
        <v>52</v>
      </c>
      <c r="AX1" t="s">
        <v>53</v>
      </c>
      <c r="AY1" t="s">
        <v>117</v>
      </c>
      <c r="AZ1" t="s">
        <v>118</v>
      </c>
      <c r="BA1" t="s">
        <v>54</v>
      </c>
      <c r="BB1" t="s">
        <v>61</v>
      </c>
      <c r="BC1" t="s">
        <v>119</v>
      </c>
      <c r="BD1" t="s">
        <v>120</v>
      </c>
      <c r="BE1" t="s">
        <v>301</v>
      </c>
      <c r="BF1" t="s">
        <v>302</v>
      </c>
      <c r="BG1" t="s">
        <v>558</v>
      </c>
      <c r="BH1" t="s">
        <v>232</v>
      </c>
      <c r="BI1" t="s">
        <v>319</v>
      </c>
      <c r="BJ1" t="s">
        <v>400</v>
      </c>
      <c r="BK1" t="s">
        <v>401</v>
      </c>
      <c r="BL1" t="s">
        <v>62</v>
      </c>
      <c r="BM1" t="s">
        <v>37</v>
      </c>
      <c r="BN1" t="s">
        <v>39</v>
      </c>
      <c r="BO1" t="s">
        <v>40</v>
      </c>
      <c r="BP1" t="s">
        <v>44</v>
      </c>
      <c r="BQ1" t="s">
        <v>18</v>
      </c>
      <c r="BR1" t="s">
        <v>21</v>
      </c>
      <c r="BS1" t="s">
        <v>19</v>
      </c>
      <c r="BT1" t="s">
        <v>20</v>
      </c>
      <c r="BU1" t="s">
        <v>22</v>
      </c>
      <c r="BV1" t="s">
        <v>13</v>
      </c>
      <c r="BW1" t="s">
        <v>23</v>
      </c>
      <c r="BX1" t="s">
        <v>69</v>
      </c>
      <c r="BY1" t="s">
        <v>231</v>
      </c>
      <c r="BZ1" t="s">
        <v>24</v>
      </c>
      <c r="CA1" t="s">
        <v>25</v>
      </c>
      <c r="CB1" t="s">
        <v>14</v>
      </c>
      <c r="CC1" t="s">
        <v>1</v>
      </c>
    </row>
    <row r="2" spans="1:81" x14ac:dyDescent="0.25">
      <c r="A2">
        <v>677</v>
      </c>
      <c r="B2" s="2">
        <v>45201</v>
      </c>
      <c r="C2" t="s">
        <v>404</v>
      </c>
      <c r="D2">
        <v>8</v>
      </c>
      <c r="E2">
        <v>219.58</v>
      </c>
      <c r="F2">
        <v>1756.64</v>
      </c>
      <c r="G2" t="s">
        <v>138</v>
      </c>
      <c r="H2" t="s">
        <v>21</v>
      </c>
      <c r="I2" t="s">
        <v>81</v>
      </c>
      <c r="J2">
        <v>604.5</v>
      </c>
      <c r="BM2" t="s">
        <v>82</v>
      </c>
      <c r="BN2">
        <v>144.018</v>
      </c>
      <c r="BO2">
        <v>1152.1400000000001</v>
      </c>
      <c r="BP2" t="s">
        <v>139</v>
      </c>
      <c r="BQ2">
        <v>126.68</v>
      </c>
      <c r="BR2">
        <v>219.58</v>
      </c>
      <c r="BS2">
        <v>187.9</v>
      </c>
      <c r="BT2">
        <v>295.27999999999997</v>
      </c>
      <c r="BU2">
        <v>14.07</v>
      </c>
      <c r="BV2">
        <v>35.43</v>
      </c>
      <c r="BW2">
        <v>8.34</v>
      </c>
      <c r="BX2">
        <v>0</v>
      </c>
      <c r="BY2">
        <v>0</v>
      </c>
      <c r="BZ2">
        <v>9.5500000000000007</v>
      </c>
      <c r="CA2">
        <v>73.33</v>
      </c>
      <c r="CB2">
        <v>0</v>
      </c>
      <c r="CC2" t="s">
        <v>75</v>
      </c>
    </row>
    <row r="3" spans="1:81" x14ac:dyDescent="0.25">
      <c r="A3">
        <v>677</v>
      </c>
      <c r="B3" s="2">
        <v>45201</v>
      </c>
      <c r="C3" t="s">
        <v>195</v>
      </c>
      <c r="D3">
        <v>4</v>
      </c>
      <c r="E3">
        <v>187.9</v>
      </c>
      <c r="F3">
        <v>751.6</v>
      </c>
      <c r="G3" t="s">
        <v>138</v>
      </c>
      <c r="H3" t="s">
        <v>19</v>
      </c>
      <c r="I3" t="s">
        <v>81</v>
      </c>
      <c r="J3">
        <v>175.52999999999997</v>
      </c>
      <c r="BM3" t="s">
        <v>82</v>
      </c>
      <c r="BN3">
        <v>144.018</v>
      </c>
      <c r="BO3">
        <v>576.07000000000005</v>
      </c>
      <c r="BP3" t="s">
        <v>139</v>
      </c>
      <c r="BQ3">
        <v>126.68</v>
      </c>
      <c r="BR3">
        <v>219.58</v>
      </c>
      <c r="BS3">
        <v>187.9</v>
      </c>
      <c r="BT3">
        <v>295.27999999999997</v>
      </c>
      <c r="BU3">
        <v>14.07</v>
      </c>
      <c r="BV3">
        <v>35.43</v>
      </c>
      <c r="BW3">
        <v>8.34</v>
      </c>
      <c r="BX3">
        <v>0</v>
      </c>
      <c r="BY3">
        <v>0</v>
      </c>
      <c r="BZ3">
        <v>9.5500000000000007</v>
      </c>
      <c r="CA3">
        <v>73.33</v>
      </c>
      <c r="CB3">
        <v>0</v>
      </c>
      <c r="CC3" t="s">
        <v>75</v>
      </c>
    </row>
    <row r="4" spans="1:81" x14ac:dyDescent="0.25">
      <c r="A4">
        <v>677</v>
      </c>
      <c r="B4" s="2">
        <v>45205</v>
      </c>
      <c r="C4" t="s">
        <v>582</v>
      </c>
      <c r="D4">
        <v>8</v>
      </c>
      <c r="E4">
        <v>126.68</v>
      </c>
      <c r="F4">
        <v>1013.44</v>
      </c>
      <c r="G4" t="s">
        <v>138</v>
      </c>
      <c r="H4" t="s">
        <v>18</v>
      </c>
      <c r="I4" t="s">
        <v>81</v>
      </c>
      <c r="J4">
        <v>373.36</v>
      </c>
      <c r="BM4" t="s">
        <v>82</v>
      </c>
      <c r="BN4">
        <v>80.010000000000005</v>
      </c>
      <c r="BO4">
        <v>640.08000000000004</v>
      </c>
      <c r="BP4" t="s">
        <v>139</v>
      </c>
      <c r="BQ4">
        <v>126.68</v>
      </c>
      <c r="BR4">
        <v>219.58</v>
      </c>
      <c r="BS4">
        <v>187.9</v>
      </c>
      <c r="BT4">
        <v>295.27999999999997</v>
      </c>
      <c r="BU4">
        <v>14.07</v>
      </c>
      <c r="BV4">
        <v>35.43</v>
      </c>
      <c r="BW4">
        <v>8.34</v>
      </c>
      <c r="BX4">
        <v>0</v>
      </c>
      <c r="BY4">
        <v>0</v>
      </c>
      <c r="BZ4">
        <v>9.5500000000000007</v>
      </c>
      <c r="CA4">
        <v>73.33</v>
      </c>
      <c r="CB4">
        <v>0</v>
      </c>
      <c r="CC4" t="s">
        <v>75</v>
      </c>
    </row>
    <row r="5" spans="1:81" x14ac:dyDescent="0.25">
      <c r="A5">
        <v>677</v>
      </c>
      <c r="B5" s="2">
        <v>45205</v>
      </c>
      <c r="C5" t="s">
        <v>195</v>
      </c>
      <c r="D5">
        <v>4</v>
      </c>
      <c r="E5">
        <v>187.9</v>
      </c>
      <c r="F5">
        <v>751.6</v>
      </c>
      <c r="G5" t="s">
        <v>138</v>
      </c>
      <c r="H5" t="s">
        <v>19</v>
      </c>
      <c r="I5" t="s">
        <v>81</v>
      </c>
      <c r="J5">
        <v>175.52999999999997</v>
      </c>
      <c r="BM5" t="s">
        <v>82</v>
      </c>
      <c r="BN5">
        <v>144.018</v>
      </c>
      <c r="BO5">
        <v>576.07000000000005</v>
      </c>
      <c r="BP5" t="s">
        <v>139</v>
      </c>
      <c r="BQ5">
        <v>126.68</v>
      </c>
      <c r="BR5">
        <v>219.58</v>
      </c>
      <c r="BS5">
        <v>187.9</v>
      </c>
      <c r="BT5">
        <v>295.27999999999997</v>
      </c>
      <c r="BU5">
        <v>14.07</v>
      </c>
      <c r="BV5">
        <v>35.43</v>
      </c>
      <c r="BW5">
        <v>8.34</v>
      </c>
      <c r="BX5">
        <v>0</v>
      </c>
      <c r="BY5">
        <v>0</v>
      </c>
      <c r="BZ5">
        <v>9.5500000000000007</v>
      </c>
      <c r="CA5">
        <v>73.33</v>
      </c>
      <c r="CB5">
        <v>0</v>
      </c>
      <c r="CC5" t="s">
        <v>75</v>
      </c>
    </row>
    <row r="6" spans="1:81" x14ac:dyDescent="0.25">
      <c r="A6">
        <v>677</v>
      </c>
      <c r="B6" s="2">
        <v>45206</v>
      </c>
      <c r="C6" t="s">
        <v>404</v>
      </c>
      <c r="D6">
        <v>12</v>
      </c>
      <c r="E6">
        <v>219.58</v>
      </c>
      <c r="F6">
        <v>2634.96</v>
      </c>
      <c r="G6" t="s">
        <v>138</v>
      </c>
      <c r="H6" t="s">
        <v>21</v>
      </c>
      <c r="I6" t="s">
        <v>81</v>
      </c>
      <c r="J6">
        <v>906.74</v>
      </c>
      <c r="BM6" t="s">
        <v>82</v>
      </c>
      <c r="BN6">
        <v>144.018</v>
      </c>
      <c r="BO6">
        <v>1728.22</v>
      </c>
      <c r="BP6" t="s">
        <v>139</v>
      </c>
      <c r="BQ6">
        <v>126.68</v>
      </c>
      <c r="BR6">
        <v>219.58</v>
      </c>
      <c r="BS6">
        <v>187.9</v>
      </c>
      <c r="BT6">
        <v>295.27999999999997</v>
      </c>
      <c r="BU6">
        <v>14.07</v>
      </c>
      <c r="BV6">
        <v>35.43</v>
      </c>
      <c r="BW6">
        <v>8.34</v>
      </c>
      <c r="BX6">
        <v>0</v>
      </c>
      <c r="BY6">
        <v>0</v>
      </c>
      <c r="BZ6">
        <v>9.5500000000000007</v>
      </c>
      <c r="CA6">
        <v>73.33</v>
      </c>
      <c r="CB6">
        <v>0</v>
      </c>
      <c r="CC6" t="s">
        <v>75</v>
      </c>
    </row>
    <row r="7" spans="1:81" x14ac:dyDescent="0.25">
      <c r="A7">
        <v>677</v>
      </c>
      <c r="B7" s="2">
        <v>45207</v>
      </c>
      <c r="C7" t="s">
        <v>404</v>
      </c>
      <c r="D7">
        <v>12</v>
      </c>
      <c r="E7">
        <v>219.58</v>
      </c>
      <c r="F7">
        <v>2634.96</v>
      </c>
      <c r="G7" t="s">
        <v>138</v>
      </c>
      <c r="H7" t="s">
        <v>21</v>
      </c>
      <c r="I7" t="s">
        <v>81</v>
      </c>
      <c r="J7">
        <v>906.74</v>
      </c>
      <c r="BM7" t="s">
        <v>82</v>
      </c>
      <c r="BN7">
        <v>144.018</v>
      </c>
      <c r="BO7">
        <v>1728.22</v>
      </c>
      <c r="BP7" t="s">
        <v>139</v>
      </c>
      <c r="BQ7">
        <v>126.68</v>
      </c>
      <c r="BR7">
        <v>219.58</v>
      </c>
      <c r="BS7">
        <v>187.9</v>
      </c>
      <c r="BT7">
        <v>295.27999999999997</v>
      </c>
      <c r="BU7">
        <v>14.07</v>
      </c>
      <c r="BV7">
        <v>35.43</v>
      </c>
      <c r="BW7">
        <v>8.34</v>
      </c>
      <c r="BX7">
        <v>0</v>
      </c>
      <c r="BY7">
        <v>0</v>
      </c>
      <c r="BZ7">
        <v>9.5500000000000007</v>
      </c>
      <c r="CA7">
        <v>73.33</v>
      </c>
      <c r="CB7">
        <v>0</v>
      </c>
      <c r="CC7" t="s">
        <v>75</v>
      </c>
    </row>
    <row r="8" spans="1:81" x14ac:dyDescent="0.25">
      <c r="A8">
        <v>677</v>
      </c>
      <c r="B8" s="2">
        <v>45207</v>
      </c>
      <c r="C8" t="s">
        <v>196</v>
      </c>
      <c r="D8">
        <v>4</v>
      </c>
      <c r="E8">
        <v>35.43</v>
      </c>
      <c r="F8">
        <v>141.72</v>
      </c>
      <c r="G8" t="s">
        <v>138</v>
      </c>
      <c r="H8" t="s">
        <v>13</v>
      </c>
      <c r="I8" t="s">
        <v>136</v>
      </c>
      <c r="J8">
        <v>18.840000000000003</v>
      </c>
      <c r="K8" t="s">
        <v>90</v>
      </c>
      <c r="L8" t="s">
        <v>441</v>
      </c>
      <c r="M8" t="s">
        <v>60</v>
      </c>
      <c r="N8" t="s">
        <v>60</v>
      </c>
      <c r="O8" t="s">
        <v>60</v>
      </c>
      <c r="P8" t="s">
        <v>60</v>
      </c>
      <c r="Q8" t="s">
        <v>60</v>
      </c>
      <c r="R8" t="s">
        <v>60</v>
      </c>
      <c r="S8" t="s">
        <v>90</v>
      </c>
      <c r="T8" t="s">
        <v>441</v>
      </c>
      <c r="U8" t="s">
        <v>424</v>
      </c>
      <c r="V8" t="s">
        <v>425</v>
      </c>
      <c r="W8" t="s">
        <v>60</v>
      </c>
      <c r="X8" t="s">
        <v>60</v>
      </c>
      <c r="Y8" t="s">
        <v>55</v>
      </c>
      <c r="Z8" t="s">
        <v>56</v>
      </c>
      <c r="AA8" t="s">
        <v>90</v>
      </c>
      <c r="AB8" t="s">
        <v>442</v>
      </c>
      <c r="AC8" t="s">
        <v>135</v>
      </c>
      <c r="AD8" t="s">
        <v>294</v>
      </c>
      <c r="AE8" t="s">
        <v>60</v>
      </c>
      <c r="AF8" t="s">
        <v>60</v>
      </c>
      <c r="AG8" t="s">
        <v>60</v>
      </c>
      <c r="AH8" t="s">
        <v>60</v>
      </c>
      <c r="AI8">
        <v>0</v>
      </c>
      <c r="AJ8">
        <v>0</v>
      </c>
      <c r="AK8" t="s">
        <v>60</v>
      </c>
      <c r="AL8" t="s">
        <v>60</v>
      </c>
      <c r="AM8" t="s">
        <v>57</v>
      </c>
      <c r="AN8" t="s">
        <v>58</v>
      </c>
      <c r="AO8" t="s">
        <v>431</v>
      </c>
      <c r="AP8" t="s">
        <v>491</v>
      </c>
      <c r="AQ8">
        <v>4</v>
      </c>
      <c r="AR8">
        <v>122.88</v>
      </c>
      <c r="AS8" t="s">
        <v>60</v>
      </c>
      <c r="AT8" t="s">
        <v>60</v>
      </c>
      <c r="AU8" t="s">
        <v>60</v>
      </c>
      <c r="AV8" t="s">
        <v>59</v>
      </c>
      <c r="AW8" t="s">
        <v>501</v>
      </c>
      <c r="AX8" t="s">
        <v>501</v>
      </c>
      <c r="AY8" t="s">
        <v>503</v>
      </c>
      <c r="AZ8" t="s">
        <v>504</v>
      </c>
      <c r="BA8" t="s">
        <v>502</v>
      </c>
      <c r="BB8" t="s">
        <v>191</v>
      </c>
      <c r="BL8" t="s">
        <v>194</v>
      </c>
      <c r="BM8" t="s">
        <v>82</v>
      </c>
      <c r="BN8">
        <v>30.72</v>
      </c>
      <c r="BO8">
        <v>122.88</v>
      </c>
      <c r="BP8" t="s">
        <v>139</v>
      </c>
      <c r="BQ8">
        <v>126.68</v>
      </c>
      <c r="BR8">
        <v>219.58</v>
      </c>
      <c r="BS8">
        <v>187.9</v>
      </c>
      <c r="BT8">
        <v>295.27999999999997</v>
      </c>
      <c r="BU8">
        <v>14.07</v>
      </c>
      <c r="BV8">
        <v>35.43</v>
      </c>
      <c r="BW8">
        <v>8.34</v>
      </c>
      <c r="BX8">
        <v>0</v>
      </c>
      <c r="BY8">
        <v>0</v>
      </c>
      <c r="BZ8">
        <v>9.5500000000000007</v>
      </c>
      <c r="CA8">
        <v>73.33</v>
      </c>
      <c r="CB8">
        <v>0</v>
      </c>
      <c r="CC8" t="s">
        <v>75</v>
      </c>
    </row>
    <row r="9" spans="1:81" x14ac:dyDescent="0.25">
      <c r="A9">
        <v>677</v>
      </c>
      <c r="B9" s="2">
        <v>45207</v>
      </c>
      <c r="C9" t="s">
        <v>197</v>
      </c>
      <c r="D9">
        <v>48</v>
      </c>
      <c r="E9">
        <v>14.07</v>
      </c>
      <c r="F9">
        <v>675.36</v>
      </c>
      <c r="G9" t="s">
        <v>138</v>
      </c>
      <c r="H9" t="s">
        <v>22</v>
      </c>
      <c r="I9" t="s">
        <v>136</v>
      </c>
      <c r="J9">
        <v>188.16000000000003</v>
      </c>
      <c r="K9" t="s">
        <v>90</v>
      </c>
      <c r="L9" t="s">
        <v>441</v>
      </c>
      <c r="M9" t="s">
        <v>60</v>
      </c>
      <c r="N9" t="s">
        <v>60</v>
      </c>
      <c r="O9" t="s">
        <v>60</v>
      </c>
      <c r="P9" t="s">
        <v>60</v>
      </c>
      <c r="Q9" t="s">
        <v>60</v>
      </c>
      <c r="R9" t="s">
        <v>60</v>
      </c>
      <c r="S9" t="s">
        <v>90</v>
      </c>
      <c r="T9" t="s">
        <v>441</v>
      </c>
      <c r="U9" t="s">
        <v>424</v>
      </c>
      <c r="V9" t="s">
        <v>425</v>
      </c>
      <c r="W9" t="s">
        <v>60</v>
      </c>
      <c r="X9" t="s">
        <v>60</v>
      </c>
      <c r="Y9" t="s">
        <v>55</v>
      </c>
      <c r="Z9" t="s">
        <v>56</v>
      </c>
      <c r="AA9" t="s">
        <v>90</v>
      </c>
      <c r="AB9" t="s">
        <v>442</v>
      </c>
      <c r="AC9" t="s">
        <v>135</v>
      </c>
      <c r="AD9" t="s">
        <v>294</v>
      </c>
      <c r="AE9" t="s">
        <v>60</v>
      </c>
      <c r="AF9" t="s">
        <v>60</v>
      </c>
      <c r="AG9" t="s">
        <v>60</v>
      </c>
      <c r="AH9" t="s">
        <v>60</v>
      </c>
      <c r="AI9" t="s">
        <v>60</v>
      </c>
      <c r="AJ9" t="s">
        <v>60</v>
      </c>
      <c r="AK9" t="s">
        <v>60</v>
      </c>
      <c r="AL9" t="s">
        <v>60</v>
      </c>
      <c r="AM9" t="s">
        <v>57</v>
      </c>
      <c r="AN9" t="s">
        <v>58</v>
      </c>
      <c r="AV9" t="s">
        <v>59</v>
      </c>
      <c r="BM9" t="s">
        <v>82</v>
      </c>
      <c r="BN9">
        <v>10.15</v>
      </c>
      <c r="BO9">
        <v>487.2</v>
      </c>
      <c r="BP9" t="s">
        <v>139</v>
      </c>
      <c r="BQ9">
        <v>126.68</v>
      </c>
      <c r="BR9">
        <v>219.58</v>
      </c>
      <c r="BS9">
        <v>187.9</v>
      </c>
      <c r="BT9">
        <v>295.27999999999997</v>
      </c>
      <c r="BU9">
        <v>14.07</v>
      </c>
      <c r="BV9">
        <v>35.43</v>
      </c>
      <c r="BW9">
        <v>8.34</v>
      </c>
      <c r="BX9">
        <v>0</v>
      </c>
      <c r="BY9">
        <v>0</v>
      </c>
      <c r="BZ9">
        <v>9.5500000000000007</v>
      </c>
      <c r="CA9">
        <v>73.33</v>
      </c>
      <c r="CB9">
        <v>0</v>
      </c>
      <c r="CC9" t="s">
        <v>75</v>
      </c>
    </row>
    <row r="10" spans="1:81" x14ac:dyDescent="0.25">
      <c r="A10">
        <v>677</v>
      </c>
      <c r="B10" s="2">
        <v>45207</v>
      </c>
      <c r="C10" t="s">
        <v>198</v>
      </c>
      <c r="D10">
        <v>5</v>
      </c>
      <c r="E10">
        <v>73.33</v>
      </c>
      <c r="F10">
        <v>366.65</v>
      </c>
      <c r="G10" t="s">
        <v>138</v>
      </c>
      <c r="H10" t="s">
        <v>25</v>
      </c>
      <c r="I10" t="s">
        <v>136</v>
      </c>
      <c r="J10">
        <v>102.14999999999998</v>
      </c>
      <c r="K10" t="s">
        <v>90</v>
      </c>
      <c r="L10" t="s">
        <v>441</v>
      </c>
      <c r="M10" t="s">
        <v>60</v>
      </c>
      <c r="N10" t="s">
        <v>60</v>
      </c>
      <c r="O10" t="s">
        <v>60</v>
      </c>
      <c r="P10" t="s">
        <v>60</v>
      </c>
      <c r="Q10" t="s">
        <v>60</v>
      </c>
      <c r="R10" t="s">
        <v>60</v>
      </c>
      <c r="S10" t="s">
        <v>90</v>
      </c>
      <c r="T10" t="s">
        <v>441</v>
      </c>
      <c r="U10" t="s">
        <v>424</v>
      </c>
      <c r="V10" t="s">
        <v>425</v>
      </c>
      <c r="W10" t="s">
        <v>60</v>
      </c>
      <c r="X10" t="s">
        <v>60</v>
      </c>
      <c r="Y10" t="s">
        <v>55</v>
      </c>
      <c r="Z10" t="s">
        <v>56</v>
      </c>
      <c r="AA10" t="s">
        <v>90</v>
      </c>
      <c r="AB10" t="s">
        <v>442</v>
      </c>
      <c r="AC10" t="s">
        <v>135</v>
      </c>
      <c r="AD10" t="s">
        <v>294</v>
      </c>
      <c r="AE10" t="s">
        <v>60</v>
      </c>
      <c r="AF10" t="s">
        <v>60</v>
      </c>
      <c r="AG10" t="s">
        <v>60</v>
      </c>
      <c r="AH10" t="s">
        <v>60</v>
      </c>
      <c r="AI10" t="s">
        <v>60</v>
      </c>
      <c r="AJ10" t="s">
        <v>60</v>
      </c>
      <c r="AK10">
        <v>0</v>
      </c>
      <c r="AL10">
        <v>0</v>
      </c>
      <c r="AM10" t="s">
        <v>57</v>
      </c>
      <c r="AN10" t="s">
        <v>58</v>
      </c>
      <c r="AO10">
        <v>5</v>
      </c>
      <c r="AP10">
        <v>264.5</v>
      </c>
      <c r="AQ10" t="s">
        <v>133</v>
      </c>
      <c r="AR10" t="s">
        <v>305</v>
      </c>
      <c r="AS10" t="s">
        <v>60</v>
      </c>
      <c r="AT10" t="s">
        <v>60</v>
      </c>
      <c r="AU10" t="s">
        <v>60</v>
      </c>
      <c r="AV10" t="s">
        <v>59</v>
      </c>
      <c r="AW10" t="s">
        <v>501</v>
      </c>
      <c r="AX10" t="s">
        <v>501</v>
      </c>
      <c r="AY10" t="s">
        <v>503</v>
      </c>
      <c r="AZ10" t="s">
        <v>504</v>
      </c>
      <c r="BA10" t="s">
        <v>502</v>
      </c>
      <c r="BB10" t="s">
        <v>191</v>
      </c>
      <c r="BC10" t="s">
        <v>60</v>
      </c>
      <c r="BD10" t="s">
        <v>60</v>
      </c>
      <c r="BE10" t="s">
        <v>304</v>
      </c>
      <c r="BF10" t="s">
        <v>239</v>
      </c>
      <c r="BG10" t="s">
        <v>559</v>
      </c>
      <c r="BH10" t="s">
        <v>60</v>
      </c>
      <c r="BI10" t="s">
        <v>60</v>
      </c>
      <c r="BJ10" t="s">
        <v>60</v>
      </c>
      <c r="BK10" t="s">
        <v>60</v>
      </c>
      <c r="BL10" t="s">
        <v>194</v>
      </c>
      <c r="BM10" t="s">
        <v>82</v>
      </c>
      <c r="BN10">
        <v>52.9</v>
      </c>
      <c r="BO10">
        <v>264.5</v>
      </c>
      <c r="BP10" t="s">
        <v>139</v>
      </c>
      <c r="BQ10">
        <v>126.68</v>
      </c>
      <c r="BR10">
        <v>219.58</v>
      </c>
      <c r="BS10">
        <v>187.9</v>
      </c>
      <c r="BT10">
        <v>295.27999999999997</v>
      </c>
      <c r="BU10">
        <v>14.07</v>
      </c>
      <c r="BV10">
        <v>35.43</v>
      </c>
      <c r="BW10">
        <v>8.34</v>
      </c>
      <c r="BX10">
        <v>0</v>
      </c>
      <c r="BY10">
        <v>0</v>
      </c>
      <c r="BZ10">
        <v>9.5500000000000007</v>
      </c>
      <c r="CA10">
        <v>73.33</v>
      </c>
      <c r="CB10">
        <v>0</v>
      </c>
      <c r="CC10" t="s">
        <v>75</v>
      </c>
    </row>
    <row r="11" spans="1:81" x14ac:dyDescent="0.25">
      <c r="A11">
        <v>255</v>
      </c>
      <c r="B11" s="2">
        <v>45202</v>
      </c>
      <c r="C11" t="s">
        <v>583</v>
      </c>
      <c r="D11">
        <v>8</v>
      </c>
      <c r="E11">
        <v>219.58</v>
      </c>
      <c r="F11">
        <v>1756.64</v>
      </c>
      <c r="G11" t="s">
        <v>138</v>
      </c>
      <c r="H11" t="s">
        <v>21</v>
      </c>
      <c r="I11" t="s">
        <v>3</v>
      </c>
      <c r="J11">
        <v>604.5</v>
      </c>
      <c r="BM11" t="s">
        <v>189</v>
      </c>
      <c r="BN11">
        <v>144.018</v>
      </c>
      <c r="BO11">
        <v>1152.1400000000001</v>
      </c>
      <c r="BP11" t="s">
        <v>139</v>
      </c>
      <c r="BQ11">
        <v>126.68</v>
      </c>
      <c r="BR11">
        <v>219.58</v>
      </c>
      <c r="BS11">
        <v>187.9</v>
      </c>
      <c r="BT11">
        <v>295.27999999999997</v>
      </c>
      <c r="BU11">
        <v>14.07</v>
      </c>
      <c r="BV11">
        <v>35.43</v>
      </c>
      <c r="BW11">
        <v>8.34</v>
      </c>
      <c r="BX11">
        <v>0</v>
      </c>
      <c r="BY11">
        <v>0</v>
      </c>
      <c r="BZ11">
        <v>9.5500000000000007</v>
      </c>
      <c r="CA11">
        <v>73.33</v>
      </c>
      <c r="CB11">
        <v>0</v>
      </c>
      <c r="CC11" t="s">
        <v>75</v>
      </c>
    </row>
    <row r="12" spans="1:81" x14ac:dyDescent="0.25">
      <c r="A12">
        <v>255</v>
      </c>
      <c r="B12" s="2">
        <v>45202</v>
      </c>
      <c r="C12" t="s">
        <v>235</v>
      </c>
      <c r="D12">
        <v>4</v>
      </c>
      <c r="E12">
        <v>187.9</v>
      </c>
      <c r="F12">
        <v>751.6</v>
      </c>
      <c r="G12" t="s">
        <v>138</v>
      </c>
      <c r="H12" t="s">
        <v>19</v>
      </c>
      <c r="I12" t="s">
        <v>3</v>
      </c>
      <c r="J12">
        <v>175.52999999999997</v>
      </c>
      <c r="BM12" t="s">
        <v>189</v>
      </c>
      <c r="BN12">
        <v>144.018</v>
      </c>
      <c r="BO12">
        <v>576.07000000000005</v>
      </c>
      <c r="BP12" t="s">
        <v>139</v>
      </c>
      <c r="BQ12">
        <v>126.68</v>
      </c>
      <c r="BR12">
        <v>219.58</v>
      </c>
      <c r="BS12">
        <v>187.9</v>
      </c>
      <c r="BT12">
        <v>295.27999999999997</v>
      </c>
      <c r="BU12">
        <v>14.07</v>
      </c>
      <c r="BV12">
        <v>35.43</v>
      </c>
      <c r="BW12">
        <v>8.34</v>
      </c>
      <c r="BX12">
        <v>0</v>
      </c>
      <c r="BY12">
        <v>0</v>
      </c>
      <c r="BZ12">
        <v>9.5500000000000007</v>
      </c>
      <c r="CA12">
        <v>73.33</v>
      </c>
      <c r="CB12">
        <v>0</v>
      </c>
      <c r="CC12" t="s">
        <v>75</v>
      </c>
    </row>
    <row r="13" spans="1:81" x14ac:dyDescent="0.25">
      <c r="A13">
        <v>255</v>
      </c>
      <c r="B13" s="2">
        <v>45203</v>
      </c>
      <c r="C13" t="s">
        <v>583</v>
      </c>
      <c r="D13">
        <v>8</v>
      </c>
      <c r="E13">
        <v>219.58</v>
      </c>
      <c r="F13">
        <v>1756.64</v>
      </c>
      <c r="G13" t="s">
        <v>138</v>
      </c>
      <c r="H13" t="s">
        <v>21</v>
      </c>
      <c r="I13" t="s">
        <v>3</v>
      </c>
      <c r="J13">
        <v>604.5</v>
      </c>
      <c r="BM13" t="s">
        <v>189</v>
      </c>
      <c r="BN13">
        <v>144.018</v>
      </c>
      <c r="BO13">
        <v>1152.1400000000001</v>
      </c>
      <c r="BP13" t="s">
        <v>139</v>
      </c>
      <c r="BQ13">
        <v>126.68</v>
      </c>
      <c r="BR13">
        <v>219.58</v>
      </c>
      <c r="BS13">
        <v>187.9</v>
      </c>
      <c r="BT13">
        <v>295.27999999999997</v>
      </c>
      <c r="BU13">
        <v>14.07</v>
      </c>
      <c r="BV13">
        <v>35.43</v>
      </c>
      <c r="BW13">
        <v>8.34</v>
      </c>
      <c r="BX13">
        <v>0</v>
      </c>
      <c r="BY13">
        <v>0</v>
      </c>
      <c r="BZ13">
        <v>9.5500000000000007</v>
      </c>
      <c r="CA13">
        <v>73.33</v>
      </c>
      <c r="CB13">
        <v>0</v>
      </c>
      <c r="CC13" t="s">
        <v>75</v>
      </c>
    </row>
    <row r="14" spans="1:81" x14ac:dyDescent="0.25">
      <c r="A14">
        <v>255</v>
      </c>
      <c r="B14" s="2">
        <v>45203</v>
      </c>
      <c r="C14" t="s">
        <v>235</v>
      </c>
      <c r="D14">
        <v>4</v>
      </c>
      <c r="E14">
        <v>187.9</v>
      </c>
      <c r="F14">
        <v>751.6</v>
      </c>
      <c r="G14" t="s">
        <v>138</v>
      </c>
      <c r="H14" t="s">
        <v>19</v>
      </c>
      <c r="I14" t="s">
        <v>3</v>
      </c>
      <c r="J14">
        <v>175.52999999999997</v>
      </c>
      <c r="BM14" t="s">
        <v>189</v>
      </c>
      <c r="BN14">
        <v>144.018</v>
      </c>
      <c r="BO14">
        <v>576.07000000000005</v>
      </c>
      <c r="BP14" t="s">
        <v>139</v>
      </c>
      <c r="BQ14">
        <v>126.68</v>
      </c>
      <c r="BR14">
        <v>219.58</v>
      </c>
      <c r="BS14">
        <v>187.9</v>
      </c>
      <c r="BT14">
        <v>295.27999999999997</v>
      </c>
      <c r="BU14">
        <v>14.07</v>
      </c>
      <c r="BV14">
        <v>35.43</v>
      </c>
      <c r="BW14">
        <v>8.34</v>
      </c>
      <c r="BX14">
        <v>0</v>
      </c>
      <c r="BY14">
        <v>0</v>
      </c>
      <c r="BZ14">
        <v>9.5500000000000007</v>
      </c>
      <c r="CA14">
        <v>73.33</v>
      </c>
      <c r="CB14">
        <v>0</v>
      </c>
      <c r="CC14" t="s">
        <v>75</v>
      </c>
    </row>
    <row r="15" spans="1:81" x14ac:dyDescent="0.25">
      <c r="A15">
        <v>255</v>
      </c>
      <c r="B15" s="2">
        <v>45204</v>
      </c>
      <c r="C15" t="s">
        <v>583</v>
      </c>
      <c r="D15">
        <v>8</v>
      </c>
      <c r="E15">
        <v>219.58</v>
      </c>
      <c r="F15">
        <v>1756.64</v>
      </c>
      <c r="G15" t="s">
        <v>138</v>
      </c>
      <c r="H15" t="s">
        <v>21</v>
      </c>
      <c r="I15" t="s">
        <v>3</v>
      </c>
      <c r="J15">
        <v>604.5</v>
      </c>
      <c r="BM15" t="s">
        <v>189</v>
      </c>
      <c r="BN15">
        <v>144.018</v>
      </c>
      <c r="BO15">
        <v>1152.1400000000001</v>
      </c>
      <c r="BP15" t="s">
        <v>139</v>
      </c>
      <c r="BQ15">
        <v>126.68</v>
      </c>
      <c r="BR15">
        <v>219.58</v>
      </c>
      <c r="BS15">
        <v>187.9</v>
      </c>
      <c r="BT15">
        <v>295.27999999999997</v>
      </c>
      <c r="BU15">
        <v>14.07</v>
      </c>
      <c r="BV15">
        <v>35.43</v>
      </c>
      <c r="BW15">
        <v>8.34</v>
      </c>
      <c r="BX15">
        <v>0</v>
      </c>
      <c r="BY15">
        <v>0</v>
      </c>
      <c r="BZ15">
        <v>9.5500000000000007</v>
      </c>
      <c r="CA15">
        <v>73.33</v>
      </c>
      <c r="CB15">
        <v>0</v>
      </c>
      <c r="CC15" t="s">
        <v>75</v>
      </c>
    </row>
    <row r="16" spans="1:81" x14ac:dyDescent="0.25">
      <c r="A16">
        <v>255</v>
      </c>
      <c r="B16" s="2">
        <v>45204</v>
      </c>
      <c r="C16" t="s">
        <v>235</v>
      </c>
      <c r="D16">
        <v>4</v>
      </c>
      <c r="E16">
        <v>187.9</v>
      </c>
      <c r="F16">
        <v>751.6</v>
      </c>
      <c r="G16" t="s">
        <v>138</v>
      </c>
      <c r="H16" t="s">
        <v>19</v>
      </c>
      <c r="I16" t="s">
        <v>3</v>
      </c>
      <c r="J16">
        <v>175.52999999999997</v>
      </c>
      <c r="BM16" t="s">
        <v>189</v>
      </c>
      <c r="BN16">
        <v>144.018</v>
      </c>
      <c r="BO16">
        <v>576.07000000000005</v>
      </c>
      <c r="BP16" t="s">
        <v>139</v>
      </c>
      <c r="BQ16">
        <v>126.68</v>
      </c>
      <c r="BR16">
        <v>219.58</v>
      </c>
      <c r="BS16">
        <v>187.9</v>
      </c>
      <c r="BT16">
        <v>295.27999999999997</v>
      </c>
      <c r="BU16">
        <v>14.07</v>
      </c>
      <c r="BV16">
        <v>35.43</v>
      </c>
      <c r="BW16">
        <v>8.34</v>
      </c>
      <c r="BX16">
        <v>0</v>
      </c>
      <c r="BY16">
        <v>0</v>
      </c>
      <c r="BZ16">
        <v>9.5500000000000007</v>
      </c>
      <c r="CA16">
        <v>73.33</v>
      </c>
      <c r="CB16">
        <v>0</v>
      </c>
      <c r="CC16" t="s">
        <v>75</v>
      </c>
    </row>
    <row r="17" spans="1:81" x14ac:dyDescent="0.25">
      <c r="A17">
        <v>255</v>
      </c>
      <c r="B17" s="2">
        <v>45205</v>
      </c>
      <c r="C17" t="s">
        <v>583</v>
      </c>
      <c r="D17">
        <v>8</v>
      </c>
      <c r="E17">
        <v>219.58</v>
      </c>
      <c r="F17">
        <v>1756.64</v>
      </c>
      <c r="G17" t="s">
        <v>138</v>
      </c>
      <c r="H17" t="s">
        <v>21</v>
      </c>
      <c r="I17" t="s">
        <v>3</v>
      </c>
      <c r="J17">
        <v>604.5</v>
      </c>
      <c r="BM17" t="s">
        <v>189</v>
      </c>
      <c r="BN17">
        <v>144.018</v>
      </c>
      <c r="BO17">
        <v>1152.1400000000001</v>
      </c>
      <c r="BP17" t="s">
        <v>139</v>
      </c>
      <c r="BQ17">
        <v>126.68</v>
      </c>
      <c r="BR17">
        <v>219.58</v>
      </c>
      <c r="BS17">
        <v>187.9</v>
      </c>
      <c r="BT17">
        <v>295.27999999999997</v>
      </c>
      <c r="BU17">
        <v>14.07</v>
      </c>
      <c r="BV17">
        <v>35.43</v>
      </c>
      <c r="BW17">
        <v>8.34</v>
      </c>
      <c r="BX17">
        <v>0</v>
      </c>
      <c r="BY17">
        <v>0</v>
      </c>
      <c r="BZ17">
        <v>9.5500000000000007</v>
      </c>
      <c r="CA17">
        <v>73.33</v>
      </c>
      <c r="CB17">
        <v>0</v>
      </c>
      <c r="CC17" t="s">
        <v>75</v>
      </c>
    </row>
    <row r="18" spans="1:81" x14ac:dyDescent="0.25">
      <c r="A18">
        <v>255</v>
      </c>
      <c r="B18" s="2">
        <v>45205</v>
      </c>
      <c r="C18" t="s">
        <v>235</v>
      </c>
      <c r="D18">
        <v>4</v>
      </c>
      <c r="E18">
        <v>187.9</v>
      </c>
      <c r="F18">
        <v>751.6</v>
      </c>
      <c r="G18" t="s">
        <v>138</v>
      </c>
      <c r="H18" t="s">
        <v>19</v>
      </c>
      <c r="I18" t="s">
        <v>3</v>
      </c>
      <c r="J18">
        <v>175.52999999999997</v>
      </c>
      <c r="BM18" t="s">
        <v>189</v>
      </c>
      <c r="BN18">
        <v>144.018</v>
      </c>
      <c r="BO18">
        <v>576.07000000000005</v>
      </c>
      <c r="BP18" t="s">
        <v>139</v>
      </c>
      <c r="BQ18">
        <v>126.68</v>
      </c>
      <c r="BR18">
        <v>219.58</v>
      </c>
      <c r="BS18">
        <v>187.9</v>
      </c>
      <c r="BT18">
        <v>295.27999999999997</v>
      </c>
      <c r="BU18">
        <v>14.07</v>
      </c>
      <c r="BV18">
        <v>35.43</v>
      </c>
      <c r="BW18">
        <v>8.34</v>
      </c>
      <c r="BX18">
        <v>0</v>
      </c>
      <c r="BY18">
        <v>0</v>
      </c>
      <c r="BZ18">
        <v>9.5500000000000007</v>
      </c>
      <c r="CA18">
        <v>73.33</v>
      </c>
      <c r="CB18">
        <v>0</v>
      </c>
      <c r="CC18" t="s">
        <v>75</v>
      </c>
    </row>
    <row r="19" spans="1:81" x14ac:dyDescent="0.25">
      <c r="A19">
        <v>255</v>
      </c>
      <c r="B19" s="2">
        <v>45206</v>
      </c>
      <c r="C19" t="s">
        <v>583</v>
      </c>
      <c r="D19">
        <v>8</v>
      </c>
      <c r="E19">
        <v>219.58</v>
      </c>
      <c r="F19">
        <v>1756.64</v>
      </c>
      <c r="G19" t="s">
        <v>138</v>
      </c>
      <c r="H19" t="s">
        <v>21</v>
      </c>
      <c r="I19" t="s">
        <v>3</v>
      </c>
      <c r="J19">
        <v>604.5</v>
      </c>
      <c r="BM19" t="s">
        <v>189</v>
      </c>
      <c r="BN19">
        <v>144.018</v>
      </c>
      <c r="BO19">
        <v>1152.1400000000001</v>
      </c>
      <c r="BP19" t="s">
        <v>139</v>
      </c>
      <c r="BQ19">
        <v>126.68</v>
      </c>
      <c r="BR19">
        <v>219.58</v>
      </c>
      <c r="BS19">
        <v>187.9</v>
      </c>
      <c r="BT19">
        <v>295.27999999999997</v>
      </c>
      <c r="BU19">
        <v>14.07</v>
      </c>
      <c r="BV19">
        <v>35.43</v>
      </c>
      <c r="BW19">
        <v>8.34</v>
      </c>
      <c r="BX19">
        <v>0</v>
      </c>
      <c r="BY19">
        <v>0</v>
      </c>
      <c r="BZ19">
        <v>9.5500000000000007</v>
      </c>
      <c r="CA19">
        <v>73.33</v>
      </c>
      <c r="CB19">
        <v>0</v>
      </c>
      <c r="CC19" t="s">
        <v>75</v>
      </c>
    </row>
    <row r="20" spans="1:81" x14ac:dyDescent="0.25">
      <c r="A20">
        <v>255</v>
      </c>
      <c r="B20" s="2">
        <v>45206</v>
      </c>
      <c r="C20" t="s">
        <v>235</v>
      </c>
      <c r="D20">
        <v>4</v>
      </c>
      <c r="E20">
        <v>187.9</v>
      </c>
      <c r="F20">
        <v>751.6</v>
      </c>
      <c r="G20" t="s">
        <v>138</v>
      </c>
      <c r="H20" t="s">
        <v>19</v>
      </c>
      <c r="I20" t="s">
        <v>3</v>
      </c>
      <c r="J20">
        <v>175.52999999999997</v>
      </c>
      <c r="BM20" t="s">
        <v>189</v>
      </c>
      <c r="BN20">
        <v>144.018</v>
      </c>
      <c r="BO20">
        <v>576.07000000000005</v>
      </c>
      <c r="BP20" t="s">
        <v>139</v>
      </c>
      <c r="BQ20">
        <v>126.68</v>
      </c>
      <c r="BR20">
        <v>219.58</v>
      </c>
      <c r="BS20">
        <v>187.9</v>
      </c>
      <c r="BT20">
        <v>295.27999999999997</v>
      </c>
      <c r="BU20">
        <v>14.07</v>
      </c>
      <c r="BV20">
        <v>35.43</v>
      </c>
      <c r="BW20">
        <v>8.34</v>
      </c>
      <c r="BX20">
        <v>0</v>
      </c>
      <c r="BY20">
        <v>0</v>
      </c>
      <c r="BZ20">
        <v>9.5500000000000007</v>
      </c>
      <c r="CA20">
        <v>73.33</v>
      </c>
      <c r="CB20">
        <v>0</v>
      </c>
      <c r="CC20" t="s">
        <v>75</v>
      </c>
    </row>
    <row r="21" spans="1:81" x14ac:dyDescent="0.25">
      <c r="A21">
        <v>255</v>
      </c>
      <c r="B21" s="2">
        <v>45207</v>
      </c>
      <c r="C21" t="s">
        <v>235</v>
      </c>
      <c r="D21">
        <v>12</v>
      </c>
      <c r="E21">
        <v>187.9</v>
      </c>
      <c r="F21">
        <v>2254.8000000000002</v>
      </c>
      <c r="G21" t="s">
        <v>138</v>
      </c>
      <c r="H21" t="s">
        <v>19</v>
      </c>
      <c r="I21" t="s">
        <v>3</v>
      </c>
      <c r="J21">
        <v>526.58000000000015</v>
      </c>
      <c r="BM21" t="s">
        <v>189</v>
      </c>
      <c r="BN21">
        <v>144.018</v>
      </c>
      <c r="BO21">
        <v>1728.22</v>
      </c>
      <c r="BP21" t="s">
        <v>139</v>
      </c>
      <c r="BQ21">
        <v>126.68</v>
      </c>
      <c r="BR21">
        <v>219.58</v>
      </c>
      <c r="BS21">
        <v>187.9</v>
      </c>
      <c r="BT21">
        <v>295.27999999999997</v>
      </c>
      <c r="BU21">
        <v>14.07</v>
      </c>
      <c r="BV21">
        <v>35.43</v>
      </c>
      <c r="BW21">
        <v>8.34</v>
      </c>
      <c r="BX21">
        <v>0</v>
      </c>
      <c r="BY21">
        <v>0</v>
      </c>
      <c r="BZ21">
        <v>9.5500000000000007</v>
      </c>
      <c r="CA21">
        <v>73.33</v>
      </c>
      <c r="CB21">
        <v>0</v>
      </c>
      <c r="CC21" t="s">
        <v>75</v>
      </c>
    </row>
    <row r="22" spans="1:81" x14ac:dyDescent="0.25">
      <c r="A22">
        <v>255</v>
      </c>
      <c r="B22" s="2">
        <v>45207</v>
      </c>
      <c r="C22" t="s">
        <v>236</v>
      </c>
      <c r="D22">
        <v>6</v>
      </c>
      <c r="E22">
        <v>35.43</v>
      </c>
      <c r="F22">
        <v>212.57999999999998</v>
      </c>
      <c r="G22" t="s">
        <v>138</v>
      </c>
      <c r="H22" t="s">
        <v>13</v>
      </c>
      <c r="I22" t="s">
        <v>64</v>
      </c>
      <c r="J22">
        <v>28.259999999999991</v>
      </c>
      <c r="K22" t="s">
        <v>60</v>
      </c>
      <c r="L22" t="s">
        <v>60</v>
      </c>
      <c r="M22" t="s">
        <v>60</v>
      </c>
      <c r="N22" t="s">
        <v>60</v>
      </c>
      <c r="O22" t="s">
        <v>60</v>
      </c>
      <c r="P22" t="s">
        <v>60</v>
      </c>
      <c r="Q22" t="s">
        <v>60</v>
      </c>
      <c r="R22" t="s">
        <v>60</v>
      </c>
      <c r="S22" t="s">
        <v>90</v>
      </c>
      <c r="T22" t="s">
        <v>441</v>
      </c>
      <c r="U22" t="s">
        <v>424</v>
      </c>
      <c r="V22" t="s">
        <v>425</v>
      </c>
      <c r="W22" t="s">
        <v>60</v>
      </c>
      <c r="X22" t="s">
        <v>60</v>
      </c>
      <c r="Y22" t="s">
        <v>55</v>
      </c>
      <c r="Z22" t="s">
        <v>56</v>
      </c>
      <c r="AA22" t="s">
        <v>135</v>
      </c>
      <c r="AB22" t="s">
        <v>294</v>
      </c>
      <c r="AC22" t="s">
        <v>234</v>
      </c>
      <c r="AD22" t="s">
        <v>426</v>
      </c>
      <c r="AE22" t="s">
        <v>60</v>
      </c>
      <c r="AF22" t="s">
        <v>60</v>
      </c>
      <c r="AG22" t="s">
        <v>60</v>
      </c>
      <c r="AH22" t="s">
        <v>60</v>
      </c>
      <c r="AI22">
        <v>0</v>
      </c>
      <c r="AJ22">
        <v>0</v>
      </c>
      <c r="AK22" t="s">
        <v>60</v>
      </c>
      <c r="AL22" t="s">
        <v>60</v>
      </c>
      <c r="AM22" t="s">
        <v>57</v>
      </c>
      <c r="AN22" t="s">
        <v>58</v>
      </c>
      <c r="AO22" t="s">
        <v>464</v>
      </c>
      <c r="AP22" t="s">
        <v>534</v>
      </c>
      <c r="AQ22">
        <v>6</v>
      </c>
      <c r="AR22">
        <v>184.32</v>
      </c>
      <c r="AS22" t="s">
        <v>121</v>
      </c>
      <c r="AT22" t="s">
        <v>60</v>
      </c>
      <c r="AU22" t="s">
        <v>60</v>
      </c>
      <c r="AV22" t="s">
        <v>59</v>
      </c>
      <c r="AW22" t="s">
        <v>535</v>
      </c>
      <c r="AX22" t="s">
        <v>536</v>
      </c>
      <c r="AY22" t="s">
        <v>538</v>
      </c>
      <c r="AZ22" t="s">
        <v>539</v>
      </c>
      <c r="BA22" t="s">
        <v>537</v>
      </c>
      <c r="BB22" t="s">
        <v>205</v>
      </c>
      <c r="BL22" t="s">
        <v>351</v>
      </c>
      <c r="BM22" t="s">
        <v>189</v>
      </c>
      <c r="BN22">
        <v>30.72</v>
      </c>
      <c r="BO22">
        <v>184.32</v>
      </c>
      <c r="BP22" t="s">
        <v>139</v>
      </c>
      <c r="BQ22">
        <v>126.68</v>
      </c>
      <c r="BR22">
        <v>219.58</v>
      </c>
      <c r="BS22">
        <v>187.9</v>
      </c>
      <c r="BT22">
        <v>295.27999999999997</v>
      </c>
      <c r="BU22">
        <v>14.07</v>
      </c>
      <c r="BV22">
        <v>35.43</v>
      </c>
      <c r="BW22">
        <v>8.34</v>
      </c>
      <c r="BX22">
        <v>0</v>
      </c>
      <c r="BY22">
        <v>0</v>
      </c>
      <c r="BZ22">
        <v>9.5500000000000007</v>
      </c>
      <c r="CA22">
        <v>73.33</v>
      </c>
      <c r="CB22">
        <v>0</v>
      </c>
      <c r="CC22" t="s">
        <v>75</v>
      </c>
    </row>
    <row r="23" spans="1:81" x14ac:dyDescent="0.25">
      <c r="A23">
        <v>255</v>
      </c>
      <c r="B23" s="2">
        <v>45207</v>
      </c>
      <c r="C23" t="s">
        <v>237</v>
      </c>
      <c r="D23">
        <v>72</v>
      </c>
      <c r="E23">
        <v>14.07</v>
      </c>
      <c r="F23">
        <v>1013.04</v>
      </c>
      <c r="G23" t="s">
        <v>138</v>
      </c>
      <c r="H23" t="s">
        <v>22</v>
      </c>
      <c r="I23" t="s">
        <v>64</v>
      </c>
      <c r="J23">
        <v>282.24</v>
      </c>
      <c r="K23" t="s">
        <v>60</v>
      </c>
      <c r="L23" t="s">
        <v>60</v>
      </c>
      <c r="M23" t="s">
        <v>60</v>
      </c>
      <c r="N23" t="s">
        <v>60</v>
      </c>
      <c r="O23" t="s">
        <v>60</v>
      </c>
      <c r="P23" t="s">
        <v>60</v>
      </c>
      <c r="Q23" t="s">
        <v>60</v>
      </c>
      <c r="R23" t="s">
        <v>60</v>
      </c>
      <c r="S23" t="s">
        <v>90</v>
      </c>
      <c r="T23" t="s">
        <v>441</v>
      </c>
      <c r="U23" t="s">
        <v>424</v>
      </c>
      <c r="V23" t="s">
        <v>425</v>
      </c>
      <c r="W23" t="s">
        <v>60</v>
      </c>
      <c r="X23" t="s">
        <v>60</v>
      </c>
      <c r="Y23" t="s">
        <v>55</v>
      </c>
      <c r="Z23" t="s">
        <v>56</v>
      </c>
      <c r="AA23" t="s">
        <v>135</v>
      </c>
      <c r="AB23" t="s">
        <v>294</v>
      </c>
      <c r="AC23" t="s">
        <v>234</v>
      </c>
      <c r="AD23" t="s">
        <v>426</v>
      </c>
      <c r="AE23" t="s">
        <v>60</v>
      </c>
      <c r="AF23" t="s">
        <v>60</v>
      </c>
      <c r="AG23" t="s">
        <v>60</v>
      </c>
      <c r="AH23" t="s">
        <v>60</v>
      </c>
      <c r="AI23" t="s">
        <v>60</v>
      </c>
      <c r="AJ23" t="s">
        <v>60</v>
      </c>
      <c r="AK23" t="s">
        <v>60</v>
      </c>
      <c r="AL23" t="s">
        <v>60</v>
      </c>
      <c r="AM23" t="s">
        <v>57</v>
      </c>
      <c r="AN23" t="s">
        <v>58</v>
      </c>
      <c r="AV23" t="s">
        <v>59</v>
      </c>
      <c r="BM23" t="s">
        <v>189</v>
      </c>
      <c r="BN23">
        <v>10.149999999999999</v>
      </c>
      <c r="BO23">
        <v>730.8</v>
      </c>
      <c r="BP23" t="s">
        <v>139</v>
      </c>
      <c r="BQ23">
        <v>126.68</v>
      </c>
      <c r="BR23">
        <v>219.58</v>
      </c>
      <c r="BS23">
        <v>187.9</v>
      </c>
      <c r="BT23">
        <v>295.27999999999997</v>
      </c>
      <c r="BU23">
        <v>14.07</v>
      </c>
      <c r="BV23">
        <v>35.43</v>
      </c>
      <c r="BW23">
        <v>8.34</v>
      </c>
      <c r="BX23">
        <v>0</v>
      </c>
      <c r="BY23">
        <v>0</v>
      </c>
      <c r="BZ23">
        <v>9.5500000000000007</v>
      </c>
      <c r="CA23">
        <v>73.33</v>
      </c>
      <c r="CB23">
        <v>0</v>
      </c>
      <c r="CC23" t="s">
        <v>75</v>
      </c>
    </row>
    <row r="24" spans="1:81" x14ac:dyDescent="0.25">
      <c r="A24">
        <v>255</v>
      </c>
      <c r="B24" s="2">
        <v>45207</v>
      </c>
      <c r="C24" t="s">
        <v>238</v>
      </c>
      <c r="D24">
        <v>7</v>
      </c>
      <c r="E24">
        <v>73.33</v>
      </c>
      <c r="F24">
        <v>513.30999999999995</v>
      </c>
      <c r="G24" t="s">
        <v>138</v>
      </c>
      <c r="H24" t="s">
        <v>25</v>
      </c>
      <c r="I24" t="s">
        <v>64</v>
      </c>
      <c r="J24">
        <v>143.00999999999993</v>
      </c>
      <c r="K24" t="s">
        <v>60</v>
      </c>
      <c r="L24" t="s">
        <v>60</v>
      </c>
      <c r="M24" t="s">
        <v>60</v>
      </c>
      <c r="N24" t="s">
        <v>60</v>
      </c>
      <c r="O24" t="s">
        <v>60</v>
      </c>
      <c r="P24" t="s">
        <v>60</v>
      </c>
      <c r="Q24" t="s">
        <v>60</v>
      </c>
      <c r="R24" t="s">
        <v>60</v>
      </c>
      <c r="S24" t="s">
        <v>90</v>
      </c>
      <c r="T24" t="s">
        <v>441</v>
      </c>
      <c r="U24" t="s">
        <v>424</v>
      </c>
      <c r="V24" t="s">
        <v>425</v>
      </c>
      <c r="W24" t="s">
        <v>60</v>
      </c>
      <c r="X24" t="s">
        <v>60</v>
      </c>
      <c r="Y24" t="s">
        <v>55</v>
      </c>
      <c r="Z24" t="s">
        <v>56</v>
      </c>
      <c r="AA24" t="s">
        <v>135</v>
      </c>
      <c r="AB24" t="s">
        <v>294</v>
      </c>
      <c r="AC24" t="s">
        <v>234</v>
      </c>
      <c r="AD24" t="s">
        <v>426</v>
      </c>
      <c r="AE24" t="s">
        <v>60</v>
      </c>
      <c r="AF24" t="s">
        <v>60</v>
      </c>
      <c r="AG24" t="s">
        <v>60</v>
      </c>
      <c r="AH24" t="s">
        <v>60</v>
      </c>
      <c r="AI24" t="s">
        <v>60</v>
      </c>
      <c r="AJ24" t="s">
        <v>60</v>
      </c>
      <c r="AK24">
        <v>0</v>
      </c>
      <c r="AL24">
        <v>0</v>
      </c>
      <c r="AM24" t="s">
        <v>57</v>
      </c>
      <c r="AN24" t="s">
        <v>58</v>
      </c>
      <c r="AO24">
        <v>7</v>
      </c>
      <c r="AP24">
        <v>370.3</v>
      </c>
      <c r="AQ24" t="s">
        <v>167</v>
      </c>
      <c r="AR24" t="s">
        <v>303</v>
      </c>
      <c r="AS24" t="s">
        <v>121</v>
      </c>
      <c r="AT24" t="s">
        <v>60</v>
      </c>
      <c r="AU24" t="s">
        <v>60</v>
      </c>
      <c r="AV24" t="s">
        <v>59</v>
      </c>
      <c r="AW24" t="s">
        <v>535</v>
      </c>
      <c r="AX24" t="s">
        <v>536</v>
      </c>
      <c r="AY24" t="s">
        <v>538</v>
      </c>
      <c r="AZ24" t="s">
        <v>539</v>
      </c>
      <c r="BA24" t="s">
        <v>537</v>
      </c>
      <c r="BB24" t="s">
        <v>205</v>
      </c>
      <c r="BC24" t="s">
        <v>60</v>
      </c>
      <c r="BD24" t="s">
        <v>60</v>
      </c>
      <c r="BE24" t="s">
        <v>304</v>
      </c>
      <c r="BF24" t="s">
        <v>239</v>
      </c>
      <c r="BG24" t="s">
        <v>559</v>
      </c>
      <c r="BH24" t="s">
        <v>60</v>
      </c>
      <c r="BI24" t="s">
        <v>60</v>
      </c>
      <c r="BJ24" t="s">
        <v>60</v>
      </c>
      <c r="BK24" t="s">
        <v>60</v>
      </c>
      <c r="BL24" t="s">
        <v>351</v>
      </c>
      <c r="BM24" t="s">
        <v>189</v>
      </c>
      <c r="BN24">
        <v>52.9</v>
      </c>
      <c r="BO24">
        <v>370.3</v>
      </c>
      <c r="BP24" t="s">
        <v>139</v>
      </c>
      <c r="BQ24">
        <v>126.68</v>
      </c>
      <c r="BR24">
        <v>219.58</v>
      </c>
      <c r="BS24">
        <v>187.9</v>
      </c>
      <c r="BT24">
        <v>295.27999999999997</v>
      </c>
      <c r="BU24">
        <v>14.07</v>
      </c>
      <c r="BV24">
        <v>35.43</v>
      </c>
      <c r="BW24">
        <v>8.34</v>
      </c>
      <c r="BX24">
        <v>0</v>
      </c>
      <c r="BY24">
        <v>0</v>
      </c>
      <c r="BZ24">
        <v>9.5500000000000007</v>
      </c>
      <c r="CA24">
        <v>73.33</v>
      </c>
      <c r="CB24">
        <v>0</v>
      </c>
      <c r="CC24" t="s">
        <v>75</v>
      </c>
    </row>
    <row r="25" spans="1:81" x14ac:dyDescent="0.25">
      <c r="A25">
        <v>790</v>
      </c>
      <c r="B25" s="2">
        <v>45201</v>
      </c>
      <c r="C25" t="s">
        <v>584</v>
      </c>
      <c r="D25">
        <v>8</v>
      </c>
      <c r="E25">
        <v>126.68</v>
      </c>
      <c r="F25">
        <v>1013.44</v>
      </c>
      <c r="G25" t="s">
        <v>138</v>
      </c>
      <c r="H25" t="s">
        <v>18</v>
      </c>
      <c r="I25" t="s">
        <v>110</v>
      </c>
      <c r="J25">
        <v>373.36</v>
      </c>
      <c r="BM25" t="s">
        <v>111</v>
      </c>
      <c r="BN25">
        <v>80.010000000000005</v>
      </c>
      <c r="BO25">
        <v>640.08000000000004</v>
      </c>
      <c r="BP25" t="s">
        <v>139</v>
      </c>
      <c r="BQ25">
        <v>126.68</v>
      </c>
      <c r="BR25">
        <v>219.58</v>
      </c>
      <c r="BS25">
        <v>187.9</v>
      </c>
      <c r="BT25">
        <v>295.27999999999997</v>
      </c>
      <c r="BU25">
        <v>14.07</v>
      </c>
      <c r="BV25">
        <v>35.43</v>
      </c>
      <c r="BW25">
        <v>8.34</v>
      </c>
      <c r="BX25">
        <v>0</v>
      </c>
      <c r="BY25">
        <v>0</v>
      </c>
      <c r="BZ25">
        <v>9.5500000000000007</v>
      </c>
      <c r="CA25">
        <v>73.33</v>
      </c>
      <c r="CB25">
        <v>0</v>
      </c>
      <c r="CC25" t="s">
        <v>75</v>
      </c>
    </row>
    <row r="26" spans="1:81" x14ac:dyDescent="0.25">
      <c r="A26">
        <v>790</v>
      </c>
      <c r="B26" s="2">
        <v>45201</v>
      </c>
      <c r="C26" t="s">
        <v>254</v>
      </c>
      <c r="D26">
        <v>4</v>
      </c>
      <c r="E26">
        <v>187.9</v>
      </c>
      <c r="F26">
        <v>751.6</v>
      </c>
      <c r="G26" t="s">
        <v>138</v>
      </c>
      <c r="H26" t="s">
        <v>19</v>
      </c>
      <c r="I26" t="s">
        <v>110</v>
      </c>
      <c r="J26">
        <v>175.52999999999997</v>
      </c>
      <c r="BM26" t="s">
        <v>111</v>
      </c>
      <c r="BN26">
        <v>144.018</v>
      </c>
      <c r="BO26">
        <v>576.07000000000005</v>
      </c>
      <c r="BP26" t="s">
        <v>139</v>
      </c>
      <c r="BQ26">
        <v>126.68</v>
      </c>
      <c r="BR26">
        <v>219.58</v>
      </c>
      <c r="BS26">
        <v>187.9</v>
      </c>
      <c r="BT26">
        <v>295.27999999999997</v>
      </c>
      <c r="BU26">
        <v>14.07</v>
      </c>
      <c r="BV26">
        <v>35.43</v>
      </c>
      <c r="BW26">
        <v>8.34</v>
      </c>
      <c r="BX26">
        <v>0</v>
      </c>
      <c r="BY26">
        <v>0</v>
      </c>
      <c r="BZ26">
        <v>9.5500000000000007</v>
      </c>
      <c r="CA26">
        <v>73.33</v>
      </c>
      <c r="CB26">
        <v>0</v>
      </c>
      <c r="CC26" t="s">
        <v>75</v>
      </c>
    </row>
    <row r="27" spans="1:81" x14ac:dyDescent="0.25">
      <c r="A27">
        <v>790</v>
      </c>
      <c r="B27" s="2">
        <v>45202</v>
      </c>
      <c r="C27" t="s">
        <v>584</v>
      </c>
      <c r="D27">
        <v>8</v>
      </c>
      <c r="E27">
        <v>126.68</v>
      </c>
      <c r="F27">
        <v>1013.44</v>
      </c>
      <c r="G27" t="s">
        <v>138</v>
      </c>
      <c r="H27" t="s">
        <v>18</v>
      </c>
      <c r="I27" t="s">
        <v>110</v>
      </c>
      <c r="J27">
        <v>373.36</v>
      </c>
      <c r="BM27" t="s">
        <v>111</v>
      </c>
      <c r="BN27">
        <v>80.010000000000005</v>
      </c>
      <c r="BO27">
        <v>640.08000000000004</v>
      </c>
      <c r="BP27" t="s">
        <v>139</v>
      </c>
      <c r="BQ27">
        <v>126.68</v>
      </c>
      <c r="BR27">
        <v>219.58</v>
      </c>
      <c r="BS27">
        <v>187.9</v>
      </c>
      <c r="BT27">
        <v>295.27999999999997</v>
      </c>
      <c r="BU27">
        <v>14.07</v>
      </c>
      <c r="BV27">
        <v>35.43</v>
      </c>
      <c r="BW27">
        <v>8.34</v>
      </c>
      <c r="BX27">
        <v>0</v>
      </c>
      <c r="BY27">
        <v>0</v>
      </c>
      <c r="BZ27">
        <v>9.5500000000000007</v>
      </c>
      <c r="CA27">
        <v>73.33</v>
      </c>
      <c r="CB27">
        <v>0</v>
      </c>
      <c r="CC27" t="s">
        <v>75</v>
      </c>
    </row>
    <row r="28" spans="1:81" x14ac:dyDescent="0.25">
      <c r="A28">
        <v>790</v>
      </c>
      <c r="B28" s="2">
        <v>45202</v>
      </c>
      <c r="C28" t="s">
        <v>254</v>
      </c>
      <c r="D28">
        <v>4</v>
      </c>
      <c r="E28">
        <v>187.9</v>
      </c>
      <c r="F28">
        <v>751.6</v>
      </c>
      <c r="G28" t="s">
        <v>138</v>
      </c>
      <c r="H28" t="s">
        <v>19</v>
      </c>
      <c r="I28" t="s">
        <v>110</v>
      </c>
      <c r="J28">
        <v>175.52999999999997</v>
      </c>
      <c r="BM28" t="s">
        <v>111</v>
      </c>
      <c r="BN28">
        <v>144.018</v>
      </c>
      <c r="BO28">
        <v>576.07000000000005</v>
      </c>
      <c r="BP28" t="s">
        <v>139</v>
      </c>
      <c r="BQ28">
        <v>126.68</v>
      </c>
      <c r="BR28">
        <v>219.58</v>
      </c>
      <c r="BS28">
        <v>187.9</v>
      </c>
      <c r="BT28">
        <v>295.27999999999997</v>
      </c>
      <c r="BU28">
        <v>14.07</v>
      </c>
      <c r="BV28">
        <v>35.43</v>
      </c>
      <c r="BW28">
        <v>8.34</v>
      </c>
      <c r="BX28">
        <v>0</v>
      </c>
      <c r="BY28">
        <v>0</v>
      </c>
      <c r="BZ28">
        <v>9.5500000000000007</v>
      </c>
      <c r="CA28">
        <v>73.33</v>
      </c>
      <c r="CB28">
        <v>0</v>
      </c>
      <c r="CC28" t="s">
        <v>75</v>
      </c>
    </row>
    <row r="29" spans="1:81" x14ac:dyDescent="0.25">
      <c r="A29">
        <v>790</v>
      </c>
      <c r="B29" s="2">
        <v>45203</v>
      </c>
      <c r="C29" t="s">
        <v>584</v>
      </c>
      <c r="D29">
        <v>8</v>
      </c>
      <c r="E29">
        <v>126.68</v>
      </c>
      <c r="F29">
        <v>1013.44</v>
      </c>
      <c r="G29" t="s">
        <v>138</v>
      </c>
      <c r="H29" t="s">
        <v>18</v>
      </c>
      <c r="I29" t="s">
        <v>110</v>
      </c>
      <c r="J29">
        <v>373.36</v>
      </c>
      <c r="BM29" t="s">
        <v>111</v>
      </c>
      <c r="BN29">
        <v>80.010000000000005</v>
      </c>
      <c r="BO29">
        <v>640.08000000000004</v>
      </c>
      <c r="BP29" t="s">
        <v>139</v>
      </c>
      <c r="BQ29">
        <v>126.68</v>
      </c>
      <c r="BR29">
        <v>219.58</v>
      </c>
      <c r="BS29">
        <v>187.9</v>
      </c>
      <c r="BT29">
        <v>295.27999999999997</v>
      </c>
      <c r="BU29">
        <v>14.07</v>
      </c>
      <c r="BV29">
        <v>35.43</v>
      </c>
      <c r="BW29">
        <v>8.34</v>
      </c>
      <c r="BX29">
        <v>0</v>
      </c>
      <c r="BY29">
        <v>0</v>
      </c>
      <c r="BZ29">
        <v>9.5500000000000007</v>
      </c>
      <c r="CA29">
        <v>73.33</v>
      </c>
      <c r="CB29">
        <v>0</v>
      </c>
      <c r="CC29" t="s">
        <v>75</v>
      </c>
    </row>
    <row r="30" spans="1:81" x14ac:dyDescent="0.25">
      <c r="A30">
        <v>790</v>
      </c>
      <c r="B30" s="2">
        <v>45203</v>
      </c>
      <c r="C30" t="s">
        <v>254</v>
      </c>
      <c r="D30">
        <v>4</v>
      </c>
      <c r="E30">
        <v>187.9</v>
      </c>
      <c r="F30">
        <v>751.6</v>
      </c>
      <c r="G30" t="s">
        <v>138</v>
      </c>
      <c r="H30" t="s">
        <v>19</v>
      </c>
      <c r="I30" t="s">
        <v>110</v>
      </c>
      <c r="J30">
        <v>175.52999999999997</v>
      </c>
      <c r="BM30" t="s">
        <v>111</v>
      </c>
      <c r="BN30">
        <v>144.018</v>
      </c>
      <c r="BO30">
        <v>576.07000000000005</v>
      </c>
      <c r="BP30" t="s">
        <v>139</v>
      </c>
      <c r="BQ30">
        <v>126.68</v>
      </c>
      <c r="BR30">
        <v>219.58</v>
      </c>
      <c r="BS30">
        <v>187.9</v>
      </c>
      <c r="BT30">
        <v>295.27999999999997</v>
      </c>
      <c r="BU30">
        <v>14.07</v>
      </c>
      <c r="BV30">
        <v>35.43</v>
      </c>
      <c r="BW30">
        <v>8.34</v>
      </c>
      <c r="BX30">
        <v>0</v>
      </c>
      <c r="BY30">
        <v>0</v>
      </c>
      <c r="BZ30">
        <v>9.5500000000000007</v>
      </c>
      <c r="CA30">
        <v>73.33</v>
      </c>
      <c r="CB30">
        <v>0</v>
      </c>
      <c r="CC30" t="s">
        <v>75</v>
      </c>
    </row>
    <row r="31" spans="1:81" x14ac:dyDescent="0.25">
      <c r="A31">
        <v>790</v>
      </c>
      <c r="B31" s="2">
        <v>45204</v>
      </c>
      <c r="C31" t="s">
        <v>584</v>
      </c>
      <c r="D31">
        <v>8</v>
      </c>
      <c r="E31">
        <v>126.68</v>
      </c>
      <c r="F31">
        <v>1013.44</v>
      </c>
      <c r="G31" t="s">
        <v>138</v>
      </c>
      <c r="H31" t="s">
        <v>18</v>
      </c>
      <c r="I31" t="s">
        <v>110</v>
      </c>
      <c r="J31">
        <v>373.36</v>
      </c>
      <c r="BM31" t="s">
        <v>111</v>
      </c>
      <c r="BN31">
        <v>80.010000000000005</v>
      </c>
      <c r="BO31">
        <v>640.08000000000004</v>
      </c>
      <c r="BP31" t="s">
        <v>139</v>
      </c>
      <c r="BQ31">
        <v>126.68</v>
      </c>
      <c r="BR31">
        <v>219.58</v>
      </c>
      <c r="BS31">
        <v>187.9</v>
      </c>
      <c r="BT31">
        <v>295.27999999999997</v>
      </c>
      <c r="BU31">
        <v>14.07</v>
      </c>
      <c r="BV31">
        <v>35.43</v>
      </c>
      <c r="BW31">
        <v>8.34</v>
      </c>
      <c r="BX31">
        <v>0</v>
      </c>
      <c r="BY31">
        <v>0</v>
      </c>
      <c r="BZ31">
        <v>9.5500000000000007</v>
      </c>
      <c r="CA31">
        <v>73.33</v>
      </c>
      <c r="CB31">
        <v>0</v>
      </c>
      <c r="CC31" t="s">
        <v>75</v>
      </c>
    </row>
    <row r="32" spans="1:81" x14ac:dyDescent="0.25">
      <c r="A32">
        <v>790</v>
      </c>
      <c r="B32" s="2">
        <v>45204</v>
      </c>
      <c r="C32" t="s">
        <v>254</v>
      </c>
      <c r="D32">
        <v>4</v>
      </c>
      <c r="E32">
        <v>187.9</v>
      </c>
      <c r="F32">
        <v>751.6</v>
      </c>
      <c r="G32" t="s">
        <v>138</v>
      </c>
      <c r="H32" t="s">
        <v>19</v>
      </c>
      <c r="I32" t="s">
        <v>110</v>
      </c>
      <c r="J32">
        <v>175.52999999999997</v>
      </c>
      <c r="BM32" t="s">
        <v>111</v>
      </c>
      <c r="BN32">
        <v>144.018</v>
      </c>
      <c r="BO32">
        <v>576.07000000000005</v>
      </c>
      <c r="BP32" t="s">
        <v>139</v>
      </c>
      <c r="BQ32">
        <v>126.68</v>
      </c>
      <c r="BR32">
        <v>219.58</v>
      </c>
      <c r="BS32">
        <v>187.9</v>
      </c>
      <c r="BT32">
        <v>295.27999999999997</v>
      </c>
      <c r="BU32">
        <v>14.07</v>
      </c>
      <c r="BV32">
        <v>35.43</v>
      </c>
      <c r="BW32">
        <v>8.34</v>
      </c>
      <c r="BX32">
        <v>0</v>
      </c>
      <c r="BY32">
        <v>0</v>
      </c>
      <c r="BZ32">
        <v>9.5500000000000007</v>
      </c>
      <c r="CA32">
        <v>73.33</v>
      </c>
      <c r="CB32">
        <v>0</v>
      </c>
      <c r="CC32" t="s">
        <v>75</v>
      </c>
    </row>
    <row r="33" spans="1:81" x14ac:dyDescent="0.25">
      <c r="A33">
        <v>790</v>
      </c>
      <c r="B33" s="2">
        <v>45207</v>
      </c>
      <c r="C33" t="s">
        <v>255</v>
      </c>
      <c r="D33">
        <v>4</v>
      </c>
      <c r="E33">
        <v>35.43</v>
      </c>
      <c r="F33">
        <v>141.72</v>
      </c>
      <c r="G33" t="s">
        <v>138</v>
      </c>
      <c r="H33" t="s">
        <v>13</v>
      </c>
      <c r="I33" t="s">
        <v>176</v>
      </c>
      <c r="J33">
        <v>18.840000000000003</v>
      </c>
      <c r="K33" t="s">
        <v>135</v>
      </c>
      <c r="L33" t="s">
        <v>296</v>
      </c>
      <c r="M33" t="s">
        <v>60</v>
      </c>
      <c r="N33" t="s">
        <v>60</v>
      </c>
      <c r="O33" t="s">
        <v>60</v>
      </c>
      <c r="P33" t="s">
        <v>60</v>
      </c>
      <c r="Q33" t="s">
        <v>60</v>
      </c>
      <c r="R33" t="s">
        <v>60</v>
      </c>
      <c r="S33" t="s">
        <v>60</v>
      </c>
      <c r="T33" t="s">
        <v>60</v>
      </c>
      <c r="U33" t="s">
        <v>233</v>
      </c>
      <c r="V33" t="s">
        <v>295</v>
      </c>
      <c r="W33" t="s">
        <v>60</v>
      </c>
      <c r="X33" t="s">
        <v>60</v>
      </c>
      <c r="Y33" t="s">
        <v>55</v>
      </c>
      <c r="Z33" t="s">
        <v>56</v>
      </c>
      <c r="AA33" t="s">
        <v>169</v>
      </c>
      <c r="AB33" t="s">
        <v>297</v>
      </c>
      <c r="AC33" t="s">
        <v>60</v>
      </c>
      <c r="AD33" t="s">
        <v>60</v>
      </c>
      <c r="AE33" t="s">
        <v>60</v>
      </c>
      <c r="AF33" t="s">
        <v>60</v>
      </c>
      <c r="AG33" t="s">
        <v>60</v>
      </c>
      <c r="AH33" t="s">
        <v>60</v>
      </c>
      <c r="AI33">
        <v>0</v>
      </c>
      <c r="AJ33">
        <v>0</v>
      </c>
      <c r="AK33" t="s">
        <v>60</v>
      </c>
      <c r="AL33" t="s">
        <v>60</v>
      </c>
      <c r="AM33" t="s">
        <v>57</v>
      </c>
      <c r="AN33" t="s">
        <v>58</v>
      </c>
      <c r="AO33" t="s">
        <v>133</v>
      </c>
      <c r="AP33" t="s">
        <v>306</v>
      </c>
      <c r="AQ33">
        <v>4</v>
      </c>
      <c r="AR33">
        <v>122.88</v>
      </c>
      <c r="AS33" t="s">
        <v>60</v>
      </c>
      <c r="AT33" t="s">
        <v>60</v>
      </c>
      <c r="AU33" t="s">
        <v>60</v>
      </c>
      <c r="AV33" t="s">
        <v>59</v>
      </c>
      <c r="AW33" t="s">
        <v>318</v>
      </c>
      <c r="AX33" t="s">
        <v>318</v>
      </c>
      <c r="AY33" t="s">
        <v>545</v>
      </c>
      <c r="AZ33" t="s">
        <v>396</v>
      </c>
      <c r="BA33" t="s">
        <v>544</v>
      </c>
      <c r="BB33" t="s">
        <v>191</v>
      </c>
      <c r="BL33" t="s">
        <v>194</v>
      </c>
      <c r="BM33" t="s">
        <v>111</v>
      </c>
      <c r="BN33">
        <v>30.72</v>
      </c>
      <c r="BO33">
        <v>122.88</v>
      </c>
      <c r="BP33" t="s">
        <v>139</v>
      </c>
      <c r="BQ33">
        <v>126.68</v>
      </c>
      <c r="BR33">
        <v>219.58</v>
      </c>
      <c r="BS33">
        <v>187.9</v>
      </c>
      <c r="BT33">
        <v>295.27999999999997</v>
      </c>
      <c r="BU33">
        <v>14.07</v>
      </c>
      <c r="BV33">
        <v>35.43</v>
      </c>
      <c r="BW33">
        <v>8.34</v>
      </c>
      <c r="BX33">
        <v>0</v>
      </c>
      <c r="BY33">
        <v>0</v>
      </c>
      <c r="BZ33">
        <v>9.5500000000000007</v>
      </c>
      <c r="CA33">
        <v>73.33</v>
      </c>
      <c r="CB33">
        <v>0</v>
      </c>
      <c r="CC33" t="s">
        <v>75</v>
      </c>
    </row>
    <row r="34" spans="1:81" x14ac:dyDescent="0.25">
      <c r="A34">
        <v>790</v>
      </c>
      <c r="B34" s="2">
        <v>45207</v>
      </c>
      <c r="C34" t="s">
        <v>256</v>
      </c>
      <c r="D34">
        <v>48</v>
      </c>
      <c r="E34">
        <v>14.07</v>
      </c>
      <c r="F34">
        <v>675.36</v>
      </c>
      <c r="G34" t="s">
        <v>138</v>
      </c>
      <c r="H34" t="s">
        <v>22</v>
      </c>
      <c r="I34" t="s">
        <v>176</v>
      </c>
      <c r="J34">
        <v>188.16000000000003</v>
      </c>
      <c r="K34" t="s">
        <v>135</v>
      </c>
      <c r="L34" t="s">
        <v>296</v>
      </c>
      <c r="M34" t="s">
        <v>60</v>
      </c>
      <c r="N34" t="s">
        <v>60</v>
      </c>
      <c r="O34" t="s">
        <v>60</v>
      </c>
      <c r="P34" t="s">
        <v>60</v>
      </c>
      <c r="Q34" t="s">
        <v>60</v>
      </c>
      <c r="R34" t="s">
        <v>60</v>
      </c>
      <c r="S34" t="s">
        <v>60</v>
      </c>
      <c r="T34" t="s">
        <v>60</v>
      </c>
      <c r="U34" t="s">
        <v>233</v>
      </c>
      <c r="V34" t="s">
        <v>295</v>
      </c>
      <c r="W34" t="s">
        <v>60</v>
      </c>
      <c r="X34" t="s">
        <v>60</v>
      </c>
      <c r="Y34" t="s">
        <v>55</v>
      </c>
      <c r="Z34" t="s">
        <v>56</v>
      </c>
      <c r="AA34" t="s">
        <v>169</v>
      </c>
      <c r="AB34" t="s">
        <v>297</v>
      </c>
      <c r="AC34" t="s">
        <v>60</v>
      </c>
      <c r="AD34" t="s">
        <v>60</v>
      </c>
      <c r="AE34" t="s">
        <v>60</v>
      </c>
      <c r="AF34" t="s">
        <v>60</v>
      </c>
      <c r="AG34" t="s">
        <v>60</v>
      </c>
      <c r="AH34" t="s">
        <v>60</v>
      </c>
      <c r="AI34" t="s">
        <v>60</v>
      </c>
      <c r="AJ34" t="s">
        <v>60</v>
      </c>
      <c r="AK34" t="s">
        <v>60</v>
      </c>
      <c r="AL34" t="s">
        <v>60</v>
      </c>
      <c r="AM34" t="s">
        <v>57</v>
      </c>
      <c r="AN34" t="s">
        <v>58</v>
      </c>
      <c r="AV34" t="s">
        <v>59</v>
      </c>
      <c r="BM34" t="s">
        <v>111</v>
      </c>
      <c r="BN34">
        <v>10.15</v>
      </c>
      <c r="BO34">
        <v>487.2</v>
      </c>
      <c r="BP34" t="s">
        <v>139</v>
      </c>
      <c r="BQ34">
        <v>126.68</v>
      </c>
      <c r="BR34">
        <v>219.58</v>
      </c>
      <c r="BS34">
        <v>187.9</v>
      </c>
      <c r="BT34">
        <v>295.27999999999997</v>
      </c>
      <c r="BU34">
        <v>14.07</v>
      </c>
      <c r="BV34">
        <v>35.43</v>
      </c>
      <c r="BW34">
        <v>8.34</v>
      </c>
      <c r="BX34">
        <v>0</v>
      </c>
      <c r="BY34">
        <v>0</v>
      </c>
      <c r="BZ34">
        <v>9.5500000000000007</v>
      </c>
      <c r="CA34">
        <v>73.33</v>
      </c>
      <c r="CB34">
        <v>0</v>
      </c>
      <c r="CC34" t="s">
        <v>75</v>
      </c>
    </row>
    <row r="35" spans="1:81" x14ac:dyDescent="0.25">
      <c r="A35">
        <v>790</v>
      </c>
      <c r="B35" s="2">
        <v>45207</v>
      </c>
      <c r="C35" t="s">
        <v>257</v>
      </c>
      <c r="D35">
        <v>4</v>
      </c>
      <c r="E35">
        <v>73.33</v>
      </c>
      <c r="F35">
        <v>293.32</v>
      </c>
      <c r="G35" t="s">
        <v>138</v>
      </c>
      <c r="H35" t="s">
        <v>25</v>
      </c>
      <c r="I35" t="s">
        <v>176</v>
      </c>
      <c r="J35">
        <v>81.72</v>
      </c>
      <c r="K35" t="s">
        <v>135</v>
      </c>
      <c r="L35" t="s">
        <v>296</v>
      </c>
      <c r="M35" t="s">
        <v>60</v>
      </c>
      <c r="N35" t="s">
        <v>60</v>
      </c>
      <c r="O35" t="s">
        <v>60</v>
      </c>
      <c r="P35" t="s">
        <v>60</v>
      </c>
      <c r="Q35" t="s">
        <v>60</v>
      </c>
      <c r="R35" t="s">
        <v>60</v>
      </c>
      <c r="S35" t="s">
        <v>60</v>
      </c>
      <c r="T35" t="s">
        <v>60</v>
      </c>
      <c r="U35" t="s">
        <v>233</v>
      </c>
      <c r="V35" t="s">
        <v>295</v>
      </c>
      <c r="W35" t="s">
        <v>60</v>
      </c>
      <c r="X35" t="s">
        <v>60</v>
      </c>
      <c r="Y35" t="s">
        <v>55</v>
      </c>
      <c r="Z35" t="s">
        <v>56</v>
      </c>
      <c r="AA35" t="s">
        <v>169</v>
      </c>
      <c r="AB35" t="s">
        <v>297</v>
      </c>
      <c r="AC35" t="s">
        <v>60</v>
      </c>
      <c r="AD35" t="s">
        <v>60</v>
      </c>
      <c r="AE35" t="s">
        <v>60</v>
      </c>
      <c r="AF35" t="s">
        <v>60</v>
      </c>
      <c r="AG35" t="s">
        <v>60</v>
      </c>
      <c r="AH35" t="s">
        <v>60</v>
      </c>
      <c r="AI35" t="s">
        <v>60</v>
      </c>
      <c r="AJ35" t="s">
        <v>60</v>
      </c>
      <c r="AK35">
        <v>0</v>
      </c>
      <c r="AL35">
        <v>0</v>
      </c>
      <c r="AM35" t="s">
        <v>57</v>
      </c>
      <c r="AN35" t="s">
        <v>58</v>
      </c>
      <c r="AO35">
        <v>4</v>
      </c>
      <c r="AP35">
        <v>211.6</v>
      </c>
      <c r="AQ35" t="s">
        <v>133</v>
      </c>
      <c r="AR35" t="s">
        <v>305</v>
      </c>
      <c r="AS35" t="s">
        <v>60</v>
      </c>
      <c r="AT35" t="s">
        <v>60</v>
      </c>
      <c r="AU35" t="s">
        <v>60</v>
      </c>
      <c r="AV35" t="s">
        <v>59</v>
      </c>
      <c r="AW35" t="s">
        <v>318</v>
      </c>
      <c r="AX35" t="s">
        <v>318</v>
      </c>
      <c r="AY35" t="s">
        <v>545</v>
      </c>
      <c r="AZ35" t="s">
        <v>396</v>
      </c>
      <c r="BA35" t="s">
        <v>544</v>
      </c>
      <c r="BB35" t="s">
        <v>191</v>
      </c>
      <c r="BC35" t="s">
        <v>60</v>
      </c>
      <c r="BD35" t="s">
        <v>60</v>
      </c>
      <c r="BE35" t="s">
        <v>304</v>
      </c>
      <c r="BF35" t="s">
        <v>239</v>
      </c>
      <c r="BG35" t="s">
        <v>559</v>
      </c>
      <c r="BH35" t="s">
        <v>60</v>
      </c>
      <c r="BI35" t="s">
        <v>60</v>
      </c>
      <c r="BJ35" t="s">
        <v>60</v>
      </c>
      <c r="BK35" t="s">
        <v>60</v>
      </c>
      <c r="BL35" t="s">
        <v>194</v>
      </c>
      <c r="BM35" t="s">
        <v>111</v>
      </c>
      <c r="BN35">
        <v>52.9</v>
      </c>
      <c r="BO35">
        <v>211.6</v>
      </c>
      <c r="BP35" t="s">
        <v>139</v>
      </c>
      <c r="BQ35">
        <v>126.68</v>
      </c>
      <c r="BR35">
        <v>219.58</v>
      </c>
      <c r="BS35">
        <v>187.9</v>
      </c>
      <c r="BT35">
        <v>295.27999999999997</v>
      </c>
      <c r="BU35">
        <v>14.07</v>
      </c>
      <c r="BV35">
        <v>35.43</v>
      </c>
      <c r="BW35">
        <v>8.34</v>
      </c>
      <c r="BX35">
        <v>0</v>
      </c>
      <c r="BY35">
        <v>0</v>
      </c>
      <c r="BZ35">
        <v>9.5500000000000007</v>
      </c>
      <c r="CA35">
        <v>73.33</v>
      </c>
      <c r="CB35">
        <v>0</v>
      </c>
      <c r="CC35" t="s">
        <v>75</v>
      </c>
    </row>
    <row r="36" spans="1:81" x14ac:dyDescent="0.25">
      <c r="A36">
        <v>161</v>
      </c>
      <c r="B36" s="2">
        <v>45207</v>
      </c>
      <c r="C36" t="s">
        <v>140</v>
      </c>
      <c r="D36">
        <v>1</v>
      </c>
      <c r="E36">
        <v>73.33</v>
      </c>
      <c r="F36">
        <v>73.33</v>
      </c>
      <c r="G36" t="s">
        <v>138</v>
      </c>
      <c r="H36" t="s">
        <v>25</v>
      </c>
      <c r="I36" t="s">
        <v>134</v>
      </c>
      <c r="J36">
        <v>20.43</v>
      </c>
      <c r="K36" t="s">
        <v>60</v>
      </c>
      <c r="L36" t="s">
        <v>60</v>
      </c>
      <c r="M36" t="s">
        <v>60</v>
      </c>
      <c r="N36" t="s">
        <v>60</v>
      </c>
      <c r="O36" t="s">
        <v>60</v>
      </c>
      <c r="P36" t="s">
        <v>60</v>
      </c>
      <c r="Q36" t="s">
        <v>60</v>
      </c>
      <c r="R36" t="s">
        <v>60</v>
      </c>
      <c r="S36" t="s">
        <v>90</v>
      </c>
      <c r="T36" t="s">
        <v>441</v>
      </c>
      <c r="U36" t="s">
        <v>60</v>
      </c>
      <c r="V36" t="s">
        <v>60</v>
      </c>
      <c r="W36" t="s">
        <v>60</v>
      </c>
      <c r="X36" t="s">
        <v>60</v>
      </c>
      <c r="Y36" t="s">
        <v>55</v>
      </c>
      <c r="Z36" t="s">
        <v>56</v>
      </c>
      <c r="AA36" t="s">
        <v>60</v>
      </c>
      <c r="AB36" t="s">
        <v>60</v>
      </c>
      <c r="AC36" t="s">
        <v>60</v>
      </c>
      <c r="AD36" t="s">
        <v>60</v>
      </c>
      <c r="AE36" t="s">
        <v>60</v>
      </c>
      <c r="AF36" t="s">
        <v>60</v>
      </c>
      <c r="AG36" t="s">
        <v>60</v>
      </c>
      <c r="AH36" t="s">
        <v>60</v>
      </c>
      <c r="AI36" t="s">
        <v>60</v>
      </c>
      <c r="AJ36" t="s">
        <v>60</v>
      </c>
      <c r="AK36">
        <v>0</v>
      </c>
      <c r="AL36">
        <v>0</v>
      </c>
      <c r="AM36" t="s">
        <v>57</v>
      </c>
      <c r="AN36" t="s">
        <v>58</v>
      </c>
      <c r="AO36">
        <v>1</v>
      </c>
      <c r="AP36">
        <v>52.9</v>
      </c>
      <c r="AQ36" t="s">
        <v>60</v>
      </c>
      <c r="AR36" t="s">
        <v>60</v>
      </c>
      <c r="AS36" t="s">
        <v>60</v>
      </c>
      <c r="AT36" t="s">
        <v>60</v>
      </c>
      <c r="AU36" t="s">
        <v>60</v>
      </c>
      <c r="AV36" t="s">
        <v>59</v>
      </c>
      <c r="AW36" t="s">
        <v>569</v>
      </c>
      <c r="AX36" t="s">
        <v>569</v>
      </c>
      <c r="AY36" t="s">
        <v>571</v>
      </c>
      <c r="AZ36" t="s">
        <v>572</v>
      </c>
      <c r="BA36" t="s">
        <v>570</v>
      </c>
      <c r="BB36" t="s">
        <v>60</v>
      </c>
      <c r="BC36" t="s">
        <v>60</v>
      </c>
      <c r="BD36" t="s">
        <v>60</v>
      </c>
      <c r="BE36" t="s">
        <v>304</v>
      </c>
      <c r="BF36" t="s">
        <v>239</v>
      </c>
      <c r="BG36" t="s">
        <v>559</v>
      </c>
      <c r="BH36" t="s">
        <v>60</v>
      </c>
      <c r="BI36" t="s">
        <v>60</v>
      </c>
      <c r="BJ36" t="s">
        <v>60</v>
      </c>
      <c r="BK36" t="s">
        <v>60</v>
      </c>
      <c r="BL36" t="s">
        <v>60</v>
      </c>
      <c r="BM36" t="s">
        <v>8</v>
      </c>
      <c r="BN36">
        <v>52.9</v>
      </c>
      <c r="BO36">
        <v>52.9</v>
      </c>
      <c r="BP36" t="s">
        <v>139</v>
      </c>
      <c r="BQ36">
        <v>126.68</v>
      </c>
      <c r="BR36">
        <v>219.58</v>
      </c>
      <c r="BS36">
        <v>187.9</v>
      </c>
      <c r="BT36">
        <v>295.27999999999997</v>
      </c>
      <c r="BU36">
        <v>14.07</v>
      </c>
      <c r="BV36">
        <v>35.43</v>
      </c>
      <c r="BW36">
        <v>8.34</v>
      </c>
      <c r="BX36">
        <v>0</v>
      </c>
      <c r="BY36">
        <v>0</v>
      </c>
      <c r="BZ36">
        <v>9.5500000000000007</v>
      </c>
      <c r="CA36">
        <v>73.33</v>
      </c>
      <c r="CB36">
        <v>0</v>
      </c>
      <c r="CC36" t="s">
        <v>75</v>
      </c>
    </row>
    <row r="37" spans="1:81" x14ac:dyDescent="0.25">
      <c r="B37" s="2"/>
      <c r="F37">
        <f>SUBTOTAL(109,WGT_Invoice[Amount])</f>
        <v>35505.749999999993</v>
      </c>
    </row>
    <row r="39" spans="1:81" x14ac:dyDescent="0.25">
      <c r="F39" s="8"/>
    </row>
    <row r="113" outlineLevel="1" x14ac:dyDescent="0.25"/>
    <row r="114" outlineLevel="1" x14ac:dyDescent="0.25"/>
    <row r="115" outlineLevel="1" x14ac:dyDescent="0.25"/>
    <row r="116" outlineLevel="1" x14ac:dyDescent="0.25"/>
    <row r="117" outlineLevel="1" x14ac:dyDescent="0.25"/>
    <row r="118" outlineLevel="1" x14ac:dyDescent="0.25"/>
    <row r="119" outlineLevel="1" x14ac:dyDescent="0.25"/>
    <row r="120" outlineLevel="1" x14ac:dyDescent="0.25"/>
    <row r="121" outlineLevel="1" x14ac:dyDescent="0.25"/>
    <row r="122" outlineLevel="1" x14ac:dyDescent="0.25"/>
    <row r="123" outlineLevel="1" x14ac:dyDescent="0.25"/>
  </sheetData>
  <phoneticPr fontId="2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28B12-7D26-45AD-805E-A93AB440DF1F}">
  <sheetPr codeName="Sheet19">
    <tabColor theme="2" tint="-0.249977111117893"/>
  </sheetPr>
  <dimension ref="A1:F20"/>
  <sheetViews>
    <sheetView workbookViewId="0">
      <selection sqref="A1:F20"/>
    </sheetView>
  </sheetViews>
  <sheetFormatPr defaultRowHeight="15" x14ac:dyDescent="0.25"/>
  <cols>
    <col min="1" max="1" width="20.140625" bestFit="1" customWidth="1"/>
    <col min="2" max="2" width="10.85546875" bestFit="1" customWidth="1"/>
    <col min="3" max="3" width="54.28515625" bestFit="1" customWidth="1"/>
    <col min="4" max="4" width="7.140625" bestFit="1" customWidth="1"/>
    <col min="5" max="5" width="7.28515625" bestFit="1" customWidth="1"/>
    <col min="6" max="6" width="10.42578125" bestFit="1" customWidth="1"/>
    <col min="7" max="7" width="17.28515625" bestFit="1" customWidth="1"/>
    <col min="8" max="8" width="11.140625" bestFit="1" customWidth="1"/>
    <col min="9" max="9" width="26.42578125" bestFit="1" customWidth="1"/>
    <col min="10" max="10" width="7.5703125" bestFit="1" customWidth="1"/>
    <col min="11" max="11" width="17.5703125" bestFit="1" customWidth="1"/>
    <col min="12" max="12" width="21.85546875" bestFit="1" customWidth="1"/>
    <col min="13" max="13" width="21" bestFit="1" customWidth="1"/>
    <col min="14" max="14" width="34.42578125" bestFit="1" customWidth="1"/>
    <col min="15" max="15" width="18.7109375" bestFit="1" customWidth="1"/>
    <col min="16" max="20" width="5.28515625" bestFit="1" customWidth="1"/>
    <col min="21" max="21" width="24.28515625" bestFit="1" customWidth="1"/>
    <col min="22" max="23" width="11.5703125" bestFit="1" customWidth="1"/>
    <col min="24" max="24" width="14.7109375" bestFit="1" customWidth="1"/>
    <col min="25" max="25" width="10.7109375" bestFit="1" customWidth="1"/>
    <col min="26" max="26" width="7" bestFit="1" customWidth="1"/>
    <col min="27" max="27" width="10.28515625" bestFit="1" customWidth="1"/>
    <col min="28" max="29" width="7" bestFit="1" customWidth="1"/>
    <col min="30" max="30" width="16.5703125" bestFit="1" customWidth="1"/>
    <col min="31" max="31" width="26.85546875" bestFit="1" customWidth="1"/>
    <col min="32" max="32" width="12.85546875" bestFit="1" customWidth="1"/>
    <col min="33" max="33" width="17" bestFit="1" customWidth="1"/>
    <col min="34" max="34" width="30.85546875" bestFit="1" customWidth="1"/>
    <col min="35" max="35" width="12.85546875" bestFit="1" customWidth="1"/>
    <col min="36" max="36" width="26" bestFit="1" customWidth="1"/>
    <col min="37" max="37" width="33.28515625" bestFit="1" customWidth="1"/>
    <col min="38" max="38" width="18.5703125" bestFit="1" customWidth="1"/>
    <col min="39" max="39" width="12.85546875" bestFit="1" customWidth="1"/>
    <col min="40" max="40" width="17" bestFit="1" customWidth="1"/>
    <col min="41" max="41" width="12.85546875" bestFit="1" customWidth="1"/>
    <col min="42" max="42" width="26" bestFit="1" customWidth="1"/>
    <col min="43" max="43" width="33.28515625" bestFit="1" customWidth="1"/>
    <col min="44" max="44" width="18.5703125" bestFit="1" customWidth="1"/>
    <col min="45" max="45" width="12.85546875" bestFit="1" customWidth="1"/>
    <col min="46" max="46" width="26" bestFit="1" customWidth="1"/>
    <col min="47" max="47" width="33.28515625" bestFit="1" customWidth="1"/>
    <col min="48" max="48" width="18.5703125" bestFit="1" customWidth="1"/>
    <col min="49" max="49" width="16.5703125" bestFit="1" customWidth="1"/>
    <col min="50" max="50" width="26.85546875" bestFit="1" customWidth="1"/>
    <col min="51" max="51" width="12.85546875" bestFit="1" customWidth="1"/>
    <col min="52" max="52" width="17" bestFit="1" customWidth="1"/>
    <col min="53" max="53" width="12.85546875" bestFit="1" customWidth="1"/>
    <col min="54" max="54" width="26" bestFit="1" customWidth="1"/>
    <col min="55" max="55" width="33.28515625" bestFit="1" customWidth="1"/>
    <col min="56" max="56" width="18.5703125" bestFit="1" customWidth="1"/>
  </cols>
  <sheetData>
    <row r="1" spans="1:6" x14ac:dyDescent="0.25">
      <c r="A1" t="s">
        <v>0</v>
      </c>
      <c r="B1" t="s">
        <v>38</v>
      </c>
      <c r="C1" t="s">
        <v>46</v>
      </c>
      <c r="D1" t="s">
        <v>17</v>
      </c>
      <c r="E1" t="s">
        <v>42</v>
      </c>
      <c r="F1" t="s">
        <v>41</v>
      </c>
    </row>
    <row r="2" spans="1:6" x14ac:dyDescent="0.25">
      <c r="A2">
        <v>774</v>
      </c>
      <c r="B2" t="s">
        <v>60</v>
      </c>
      <c r="C2" t="s">
        <v>585</v>
      </c>
      <c r="D2">
        <v>40</v>
      </c>
      <c r="E2">
        <v>219.58</v>
      </c>
      <c r="F2">
        <v>8783.2000000000007</v>
      </c>
    </row>
    <row r="3" spans="1:6" x14ac:dyDescent="0.25">
      <c r="A3">
        <v>774</v>
      </c>
      <c r="B3" t="s">
        <v>60</v>
      </c>
      <c r="C3" t="s">
        <v>258</v>
      </c>
      <c r="D3">
        <v>32</v>
      </c>
      <c r="E3">
        <v>187.9</v>
      </c>
      <c r="F3">
        <v>6012.8</v>
      </c>
    </row>
    <row r="4" spans="1:6" x14ac:dyDescent="0.25">
      <c r="A4">
        <v>774</v>
      </c>
      <c r="B4" t="s">
        <v>60</v>
      </c>
      <c r="C4" t="s">
        <v>259</v>
      </c>
      <c r="D4">
        <v>6</v>
      </c>
      <c r="E4">
        <v>35.43</v>
      </c>
      <c r="F4">
        <v>212.57999999999998</v>
      </c>
    </row>
    <row r="5" spans="1:6" x14ac:dyDescent="0.25">
      <c r="A5">
        <v>774</v>
      </c>
      <c r="B5" t="s">
        <v>60</v>
      </c>
      <c r="C5" t="s">
        <v>594</v>
      </c>
      <c r="D5">
        <v>12</v>
      </c>
      <c r="E5">
        <v>126.68</v>
      </c>
      <c r="F5">
        <v>1520.16</v>
      </c>
    </row>
    <row r="6" spans="1:6" x14ac:dyDescent="0.25">
      <c r="A6">
        <v>774</v>
      </c>
      <c r="B6" t="s">
        <v>60</v>
      </c>
      <c r="C6" t="s">
        <v>260</v>
      </c>
      <c r="D6">
        <v>72</v>
      </c>
      <c r="E6">
        <v>6.31</v>
      </c>
      <c r="F6">
        <v>454.32</v>
      </c>
    </row>
    <row r="7" spans="1:6" x14ac:dyDescent="0.25">
      <c r="A7">
        <v>774</v>
      </c>
      <c r="B7" t="s">
        <v>60</v>
      </c>
      <c r="C7" t="s">
        <v>261</v>
      </c>
      <c r="D7">
        <v>6</v>
      </c>
      <c r="E7">
        <v>73.33</v>
      </c>
      <c r="F7">
        <v>439.98</v>
      </c>
    </row>
    <row r="8" spans="1:6" x14ac:dyDescent="0.25">
      <c r="A8">
        <v>665</v>
      </c>
      <c r="B8" t="s">
        <v>60</v>
      </c>
      <c r="C8" t="s">
        <v>405</v>
      </c>
      <c r="D8">
        <v>32</v>
      </c>
      <c r="E8">
        <v>219.58</v>
      </c>
      <c r="F8">
        <v>7026.56</v>
      </c>
    </row>
    <row r="9" spans="1:6" x14ac:dyDescent="0.25">
      <c r="A9">
        <v>665</v>
      </c>
      <c r="B9" t="s">
        <v>60</v>
      </c>
      <c r="C9" t="s">
        <v>586</v>
      </c>
      <c r="D9">
        <v>8</v>
      </c>
      <c r="E9">
        <v>126.68</v>
      </c>
      <c r="F9">
        <v>1013.44</v>
      </c>
    </row>
    <row r="10" spans="1:6" x14ac:dyDescent="0.25">
      <c r="A10">
        <v>665</v>
      </c>
      <c r="B10" t="s">
        <v>60</v>
      </c>
      <c r="C10" t="s">
        <v>222</v>
      </c>
      <c r="D10">
        <v>8</v>
      </c>
      <c r="E10">
        <v>187.9</v>
      </c>
      <c r="F10">
        <v>1503.2</v>
      </c>
    </row>
    <row r="11" spans="1:6" x14ac:dyDescent="0.25">
      <c r="A11">
        <v>665</v>
      </c>
      <c r="B11" t="s">
        <v>60</v>
      </c>
      <c r="C11" t="s">
        <v>223</v>
      </c>
      <c r="D11">
        <v>4</v>
      </c>
      <c r="E11">
        <v>35.43</v>
      </c>
      <c r="F11">
        <v>141.72</v>
      </c>
    </row>
    <row r="12" spans="1:6" x14ac:dyDescent="0.25">
      <c r="A12">
        <v>665</v>
      </c>
      <c r="B12" t="s">
        <v>60</v>
      </c>
      <c r="C12" t="s">
        <v>224</v>
      </c>
      <c r="D12">
        <v>48</v>
      </c>
      <c r="E12">
        <v>6.31</v>
      </c>
      <c r="F12">
        <v>302.88</v>
      </c>
    </row>
    <row r="13" spans="1:6" x14ac:dyDescent="0.25">
      <c r="A13">
        <v>665</v>
      </c>
      <c r="B13" t="s">
        <v>60</v>
      </c>
      <c r="C13" t="s">
        <v>225</v>
      </c>
      <c r="D13">
        <v>5</v>
      </c>
      <c r="E13">
        <v>73.33</v>
      </c>
      <c r="F13">
        <v>366.65</v>
      </c>
    </row>
    <row r="14" spans="1:6" x14ac:dyDescent="0.25">
      <c r="A14">
        <v>246</v>
      </c>
      <c r="B14" t="s">
        <v>60</v>
      </c>
      <c r="C14" t="s">
        <v>587</v>
      </c>
      <c r="D14">
        <v>32</v>
      </c>
      <c r="E14">
        <v>126.68</v>
      </c>
      <c r="F14">
        <v>4053.76</v>
      </c>
    </row>
    <row r="15" spans="1:6" x14ac:dyDescent="0.25">
      <c r="A15">
        <v>246</v>
      </c>
      <c r="B15" t="s">
        <v>60</v>
      </c>
      <c r="C15" t="s">
        <v>285</v>
      </c>
      <c r="D15">
        <v>16</v>
      </c>
      <c r="E15">
        <v>187.9</v>
      </c>
      <c r="F15">
        <v>3006.4</v>
      </c>
    </row>
    <row r="16" spans="1:6" x14ac:dyDescent="0.25">
      <c r="A16">
        <v>246</v>
      </c>
      <c r="B16" t="s">
        <v>60</v>
      </c>
      <c r="C16" t="s">
        <v>286</v>
      </c>
      <c r="D16">
        <v>4</v>
      </c>
      <c r="E16">
        <v>35.43</v>
      </c>
      <c r="F16">
        <v>141.72</v>
      </c>
    </row>
    <row r="17" spans="1:6" x14ac:dyDescent="0.25">
      <c r="A17">
        <v>246</v>
      </c>
      <c r="B17" t="s">
        <v>60</v>
      </c>
      <c r="C17" t="s">
        <v>595</v>
      </c>
      <c r="D17">
        <v>19.5</v>
      </c>
      <c r="E17">
        <v>126.68</v>
      </c>
      <c r="F17">
        <v>2470.2600000000002</v>
      </c>
    </row>
    <row r="18" spans="1:6" x14ac:dyDescent="0.25">
      <c r="A18">
        <v>246</v>
      </c>
      <c r="B18" t="s">
        <v>60</v>
      </c>
      <c r="C18" t="s">
        <v>287</v>
      </c>
      <c r="D18">
        <v>48</v>
      </c>
      <c r="E18">
        <v>6.31</v>
      </c>
      <c r="F18">
        <v>302.88</v>
      </c>
    </row>
    <row r="19" spans="1:6" x14ac:dyDescent="0.25">
      <c r="A19">
        <v>246</v>
      </c>
      <c r="B19" t="s">
        <v>60</v>
      </c>
      <c r="C19" t="s">
        <v>288</v>
      </c>
      <c r="D19">
        <v>5</v>
      </c>
      <c r="E19">
        <v>73.33</v>
      </c>
      <c r="F19">
        <v>366.65</v>
      </c>
    </row>
    <row r="20" spans="1:6" x14ac:dyDescent="0.25">
      <c r="F20">
        <f>SUBTOTAL(109,HBM_Invoice[Amount])</f>
        <v>38119.160000000011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027A0-6FE1-4F66-9D24-42B9E5190F88}">
  <sheetPr codeName="Sheet16">
    <tabColor rgb="FF00B0F0"/>
  </sheetPr>
  <dimension ref="A1:BZ5"/>
  <sheetViews>
    <sheetView workbookViewId="0">
      <selection sqref="A1:BZ5"/>
    </sheetView>
  </sheetViews>
  <sheetFormatPr defaultRowHeight="15" x14ac:dyDescent="0.25"/>
  <cols>
    <col min="1" max="1" width="20.140625" bestFit="1" customWidth="1"/>
    <col min="2" max="2" width="10.85546875" bestFit="1" customWidth="1"/>
    <col min="3" max="3" width="48.5703125" bestFit="1" customWidth="1"/>
    <col min="4" max="4" width="7.140625" bestFit="1" customWidth="1"/>
    <col min="5" max="5" width="7.28515625" bestFit="1" customWidth="1"/>
    <col min="6" max="6" width="10.42578125" bestFit="1" customWidth="1"/>
    <col min="7" max="7" width="21.42578125" bestFit="1" customWidth="1"/>
    <col min="8" max="8" width="19.140625" bestFit="1" customWidth="1"/>
    <col min="9" max="9" width="20" bestFit="1" customWidth="1"/>
    <col min="10" max="10" width="17.7109375" bestFit="1" customWidth="1"/>
    <col min="11" max="11" width="20.42578125" bestFit="1" customWidth="1"/>
    <col min="12" max="12" width="18.140625" bestFit="1" customWidth="1"/>
    <col min="13" max="13" width="28" bestFit="1" customWidth="1"/>
    <col min="14" max="14" width="25.7109375" bestFit="1" customWidth="1"/>
    <col min="15" max="15" width="18" bestFit="1" customWidth="1"/>
    <col min="16" max="16" width="15.85546875" bestFit="1" customWidth="1"/>
    <col min="17" max="17" width="17" bestFit="1" customWidth="1"/>
    <col min="18" max="18" width="14.7109375" bestFit="1" customWidth="1"/>
    <col min="19" max="19" width="23" bestFit="1" customWidth="1"/>
    <col min="20" max="20" width="20.85546875" bestFit="1" customWidth="1"/>
    <col min="21" max="21" width="9.5703125" bestFit="1" customWidth="1"/>
    <col min="22" max="22" width="10.7109375" bestFit="1" customWidth="1"/>
    <col min="23" max="23" width="20" bestFit="1" customWidth="1"/>
    <col min="24" max="24" width="17.7109375" bestFit="1" customWidth="1"/>
    <col min="25" max="25" width="20.42578125" bestFit="1" customWidth="1"/>
    <col min="26" max="26" width="18.140625" bestFit="1" customWidth="1"/>
    <col min="27" max="27" width="20.7109375" bestFit="1" customWidth="1"/>
    <col min="28" max="28" width="18.42578125" bestFit="1" customWidth="1"/>
    <col min="29" max="29" width="42.28515625" bestFit="1" customWidth="1"/>
    <col min="30" max="30" width="40" bestFit="1" customWidth="1"/>
    <col min="31" max="31" width="32.85546875" bestFit="1" customWidth="1"/>
    <col min="32" max="32" width="29.140625" bestFit="1" customWidth="1"/>
    <col min="33" max="33" width="32" bestFit="1" customWidth="1"/>
    <col min="34" max="34" width="27.28515625" bestFit="1" customWidth="1"/>
    <col min="35" max="35" width="11.5703125" bestFit="1" customWidth="1"/>
    <col min="36" max="36" width="32.7109375" bestFit="1" customWidth="1"/>
    <col min="37" max="37" width="28.140625" bestFit="1" customWidth="1"/>
    <col min="38" max="38" width="40" bestFit="1" customWidth="1"/>
    <col min="39" max="39" width="36.42578125" bestFit="1" customWidth="1"/>
    <col min="40" max="40" width="33.140625" bestFit="1" customWidth="1"/>
    <col min="41" max="41" width="15.42578125" bestFit="1" customWidth="1"/>
    <col min="42" max="42" width="13.140625" bestFit="1" customWidth="1"/>
    <col min="43" max="43" width="14.7109375" bestFit="1" customWidth="1"/>
    <col min="44" max="44" width="20.7109375" bestFit="1" customWidth="1"/>
    <col min="45" max="45" width="23.5703125" bestFit="1" customWidth="1"/>
    <col min="46" max="46" width="6.5703125" bestFit="1" customWidth="1"/>
    <col min="47" max="47" width="17.5703125" bestFit="1" customWidth="1"/>
    <col min="48" max="49" width="13.140625" bestFit="1" customWidth="1"/>
    <col min="50" max="50" width="21" bestFit="1" customWidth="1"/>
    <col min="51" max="51" width="34.42578125" bestFit="1" customWidth="1"/>
    <col min="52" max="52" width="27.42578125" bestFit="1" customWidth="1"/>
    <col min="53" max="53" width="27.140625" bestFit="1" customWidth="1"/>
    <col min="54" max="54" width="24.140625" bestFit="1" customWidth="1"/>
    <col min="55" max="58" width="5.28515625" bestFit="1" customWidth="1"/>
    <col min="59" max="59" width="18.28515625" bestFit="1" customWidth="1"/>
    <col min="60" max="60" width="16" bestFit="1" customWidth="1"/>
    <col min="61" max="61" width="8.28515625" bestFit="1" customWidth="1"/>
    <col min="62" max="62" width="17.28515625" bestFit="1" customWidth="1"/>
    <col min="63" max="63" width="11.140625" bestFit="1" customWidth="1"/>
    <col min="64" max="64" width="26.42578125" bestFit="1" customWidth="1"/>
    <col min="65" max="65" width="24.28515625" bestFit="1" customWidth="1"/>
    <col min="66" max="66" width="7" bestFit="1" customWidth="1"/>
    <col min="67" max="67" width="10.28515625" bestFit="1" customWidth="1"/>
    <col min="68" max="68" width="7" bestFit="1" customWidth="1"/>
    <col min="69" max="69" width="6" bestFit="1" customWidth="1"/>
    <col min="70" max="70" width="16.5703125" bestFit="1" customWidth="1"/>
    <col min="71" max="71" width="17" bestFit="1" customWidth="1"/>
    <col min="72" max="72" width="30.85546875" bestFit="1" customWidth="1"/>
    <col min="73" max="73" width="26.85546875" bestFit="1" customWidth="1"/>
    <col min="74" max="75" width="12.85546875" bestFit="1" customWidth="1"/>
    <col min="76" max="76" width="26" bestFit="1" customWidth="1"/>
    <col min="77" max="77" width="17.28515625" bestFit="1" customWidth="1"/>
    <col min="78" max="79" width="33.28515625" bestFit="1" customWidth="1"/>
    <col min="80" max="80" width="30.85546875" bestFit="1" customWidth="1"/>
    <col min="81" max="81" width="26.85546875" bestFit="1" customWidth="1"/>
    <col min="82" max="83" width="12.85546875" bestFit="1" customWidth="1"/>
    <col min="84" max="84" width="26" bestFit="1" customWidth="1"/>
    <col min="85" max="85" width="17.28515625" bestFit="1" customWidth="1"/>
    <col min="86" max="86" width="33.28515625" bestFit="1" customWidth="1"/>
    <col min="87" max="87" width="26.85546875" bestFit="1" customWidth="1"/>
    <col min="88" max="89" width="12.85546875" bestFit="1" customWidth="1"/>
    <col min="90" max="90" width="26" bestFit="1" customWidth="1"/>
    <col min="91" max="91" width="17.28515625" bestFit="1" customWidth="1"/>
    <col min="92" max="92" width="33.28515625" bestFit="1" customWidth="1"/>
    <col min="93" max="93" width="26" bestFit="1" customWidth="1"/>
    <col min="94" max="94" width="17.28515625" bestFit="1" customWidth="1"/>
    <col min="95" max="95" width="33.28515625" bestFit="1" customWidth="1"/>
    <col min="96" max="96" width="12.85546875" bestFit="1" customWidth="1"/>
    <col min="97" max="97" width="26" bestFit="1" customWidth="1"/>
    <col min="98" max="98" width="17.28515625" bestFit="1" customWidth="1"/>
    <col min="99" max="99" width="33.28515625" bestFit="1" customWidth="1"/>
    <col min="100" max="101" width="12.85546875" bestFit="1" customWidth="1"/>
    <col min="102" max="102" width="26" bestFit="1" customWidth="1"/>
    <col min="103" max="103" width="17.28515625" bestFit="1" customWidth="1"/>
    <col min="104" max="104" width="33.28515625" bestFit="1" customWidth="1"/>
    <col min="105" max="105" width="26" bestFit="1" customWidth="1"/>
    <col min="106" max="106" width="17.28515625" bestFit="1" customWidth="1"/>
    <col min="107" max="107" width="33.28515625" bestFit="1" customWidth="1"/>
    <col min="108" max="108" width="12.85546875" bestFit="1" customWidth="1"/>
    <col min="109" max="109" width="26" bestFit="1" customWidth="1"/>
    <col min="110" max="110" width="17.28515625" bestFit="1" customWidth="1"/>
    <col min="111" max="111" width="33.28515625" customWidth="1"/>
    <col min="112" max="112" width="30.85546875" bestFit="1" customWidth="1"/>
    <col min="113" max="113" width="26.85546875" bestFit="1" customWidth="1"/>
    <col min="114" max="115" width="12.85546875" bestFit="1" customWidth="1"/>
    <col min="116" max="116" width="26" bestFit="1" customWidth="1"/>
    <col min="117" max="117" width="17.28515625" bestFit="1" customWidth="1"/>
    <col min="118" max="118" width="33.28515625" bestFit="1" customWidth="1"/>
    <col min="119" max="120" width="12.85546875" bestFit="1" customWidth="1"/>
    <col min="121" max="121" width="26" bestFit="1" customWidth="1"/>
    <col min="122" max="122" width="17.28515625" bestFit="1" customWidth="1"/>
    <col min="123" max="123" width="33.28515625" bestFit="1" customWidth="1"/>
    <col min="124" max="124" width="17.28515625" bestFit="1" customWidth="1"/>
    <col min="125" max="125" width="33.28515625" bestFit="1" customWidth="1"/>
    <col min="126" max="126" width="26.85546875" bestFit="1" customWidth="1"/>
    <col min="127" max="127" width="12.85546875" bestFit="1" customWidth="1"/>
    <col min="128" max="128" width="12.85546875" customWidth="1"/>
    <col min="129" max="129" width="26" bestFit="1" customWidth="1"/>
    <col min="130" max="130" width="17.28515625" bestFit="1" customWidth="1"/>
    <col min="131" max="131" width="33.28515625" bestFit="1" customWidth="1"/>
    <col min="132" max="132" width="26" bestFit="1" customWidth="1"/>
    <col min="133" max="133" width="17.28515625" bestFit="1" customWidth="1"/>
    <col min="134" max="134" width="33.28515625" bestFit="1" customWidth="1"/>
    <col min="135" max="135" width="12.85546875" bestFit="1" customWidth="1"/>
    <col min="136" max="136" width="26" bestFit="1" customWidth="1"/>
    <col min="137" max="137" width="17.28515625" bestFit="1" customWidth="1"/>
    <col min="138" max="138" width="33.28515625" bestFit="1" customWidth="1"/>
    <col min="139" max="139" width="17.28515625" bestFit="1" customWidth="1"/>
    <col min="140" max="140" width="33.28515625" bestFit="1" customWidth="1"/>
    <col min="141" max="141" width="26.85546875" bestFit="1" customWidth="1"/>
    <col min="142" max="143" width="12.85546875" bestFit="1" customWidth="1"/>
    <col min="144" max="144" width="26" bestFit="1" customWidth="1"/>
    <col min="145" max="145" width="17.28515625" bestFit="1" customWidth="1"/>
    <col min="146" max="146" width="33.28515625" bestFit="1" customWidth="1"/>
    <col min="147" max="147" width="17" bestFit="1" customWidth="1"/>
    <col min="148" max="148" width="30.85546875" bestFit="1" customWidth="1"/>
    <col min="149" max="149" width="26.85546875" bestFit="1" customWidth="1"/>
    <col min="150" max="151" width="12.85546875" bestFit="1" customWidth="1"/>
    <col min="152" max="152" width="26" bestFit="1" customWidth="1"/>
    <col min="153" max="153" width="17.28515625" bestFit="1" customWidth="1"/>
    <col min="154" max="154" width="33.28515625" bestFit="1" customWidth="1"/>
    <col min="155" max="155" width="26.85546875" bestFit="1" customWidth="1"/>
    <col min="156" max="157" width="12.85546875" bestFit="1" customWidth="1"/>
    <col min="158" max="158" width="26" bestFit="1" customWidth="1"/>
    <col min="159" max="159" width="17.28515625" bestFit="1" customWidth="1"/>
    <col min="160" max="160" width="33.28515625" bestFit="1" customWidth="1"/>
    <col min="161" max="161" width="25.7109375" bestFit="1" customWidth="1"/>
    <col min="162" max="163" width="12.42578125" bestFit="1" customWidth="1"/>
    <col min="164" max="164" width="24.85546875" bestFit="1" customWidth="1"/>
    <col min="165" max="165" width="16.5703125" bestFit="1" customWidth="1"/>
    <col min="166" max="166" width="31.85546875" bestFit="1" customWidth="1"/>
    <col min="167" max="167" width="6.85546875" bestFit="1" customWidth="1"/>
    <col min="168" max="168" width="15.85546875" bestFit="1" customWidth="1"/>
    <col min="169" max="169" width="16.42578125" bestFit="1" customWidth="1"/>
    <col min="170" max="170" width="29.5703125" bestFit="1" customWidth="1"/>
    <col min="171" max="171" width="25.7109375" bestFit="1" customWidth="1"/>
    <col min="172" max="173" width="12.42578125" bestFit="1" customWidth="1"/>
    <col min="174" max="174" width="24.85546875" bestFit="1" customWidth="1"/>
    <col min="175" max="175" width="16.5703125" bestFit="1" customWidth="1"/>
    <col min="176" max="176" width="31.85546875" bestFit="1" customWidth="1"/>
    <col min="177" max="177" width="12.85546875" bestFit="1" customWidth="1"/>
    <col min="178" max="178" width="26" bestFit="1" customWidth="1"/>
    <col min="179" max="179" width="17.28515625" bestFit="1" customWidth="1"/>
    <col min="180" max="180" width="33.28515625" bestFit="1" customWidth="1"/>
    <col min="181" max="181" width="26.85546875" bestFit="1" customWidth="1"/>
    <col min="182" max="182" width="12.85546875" bestFit="1" customWidth="1"/>
    <col min="183" max="183" width="12.85546875" customWidth="1"/>
    <col min="184" max="184" width="26" bestFit="1" customWidth="1"/>
    <col min="185" max="185" width="17.28515625" bestFit="1" customWidth="1"/>
    <col min="186" max="186" width="33.28515625" bestFit="1" customWidth="1"/>
    <col min="187" max="187" width="12.85546875" bestFit="1" customWidth="1"/>
    <col min="188" max="188" width="26" bestFit="1" customWidth="1"/>
    <col min="189" max="189" width="17.28515625" bestFit="1" customWidth="1"/>
    <col min="190" max="190" width="33.28515625" bestFit="1" customWidth="1"/>
    <col min="191" max="191" width="16.5703125" bestFit="1" customWidth="1"/>
    <col min="192" max="192" width="17" bestFit="1" customWidth="1"/>
    <col min="193" max="193" width="26.85546875" bestFit="1" customWidth="1"/>
    <col min="194" max="195" width="12.85546875" bestFit="1" customWidth="1"/>
    <col min="196" max="196" width="26" bestFit="1" customWidth="1"/>
    <col min="197" max="197" width="17.28515625" bestFit="1" customWidth="1"/>
    <col min="198" max="198" width="33.28515625" bestFit="1" customWidth="1"/>
    <col min="199" max="200" width="12.85546875" bestFit="1" customWidth="1"/>
    <col min="201" max="201" width="26" bestFit="1" customWidth="1"/>
    <col min="202" max="202" width="17.28515625" bestFit="1" customWidth="1"/>
    <col min="203" max="203" width="33.28515625" bestFit="1" customWidth="1"/>
    <col min="204" max="204" width="26.85546875" bestFit="1" customWidth="1"/>
    <col min="205" max="206" width="12.85546875" bestFit="1" customWidth="1"/>
    <col min="207" max="207" width="26" bestFit="1" customWidth="1"/>
    <col min="208" max="208" width="17.28515625" bestFit="1" customWidth="1"/>
    <col min="209" max="209" width="33.28515625" bestFit="1" customWidth="1"/>
    <col min="210" max="210" width="16.5703125" bestFit="1" customWidth="1"/>
    <col min="211" max="211" width="17" bestFit="1" customWidth="1"/>
    <col min="212" max="212" width="26.85546875" bestFit="1" customWidth="1"/>
    <col min="213" max="213" width="12.85546875" bestFit="1" customWidth="1"/>
    <col min="214" max="214" width="12.85546875" customWidth="1"/>
    <col min="215" max="215" width="26" bestFit="1" customWidth="1"/>
    <col min="216" max="216" width="17.28515625" bestFit="1" customWidth="1"/>
    <col min="217" max="217" width="33.28515625" bestFit="1" customWidth="1"/>
    <col min="218" max="218" width="12.85546875" customWidth="1"/>
    <col min="219" max="219" width="26" bestFit="1" customWidth="1"/>
    <col min="220" max="220" width="17.28515625" bestFit="1" customWidth="1"/>
    <col min="221" max="221" width="33.28515625" bestFit="1" customWidth="1"/>
    <col min="222" max="222" width="12.85546875" bestFit="1" customWidth="1"/>
    <col min="223" max="223" width="26" bestFit="1" customWidth="1"/>
    <col min="224" max="224" width="17.28515625" bestFit="1" customWidth="1"/>
    <col min="225" max="225" width="33.28515625" customWidth="1"/>
    <col min="226" max="226" width="26" bestFit="1" customWidth="1"/>
    <col min="227" max="227" width="33.28515625" bestFit="1" customWidth="1"/>
    <col min="228" max="228" width="5.7109375" customWidth="1"/>
    <col min="229" max="229" width="16.5703125" bestFit="1" customWidth="1"/>
    <col min="230" max="230" width="17" bestFit="1" customWidth="1"/>
    <col min="231" max="231" width="26.85546875" bestFit="1" customWidth="1"/>
    <col min="232" max="233" width="12.85546875" bestFit="1" customWidth="1"/>
    <col min="234" max="234" width="26" bestFit="1" customWidth="1"/>
    <col min="235" max="235" width="33.28515625" bestFit="1" customWidth="1"/>
    <col min="236" max="236" width="26" bestFit="1" customWidth="1"/>
    <col min="237" max="237" width="33.28515625" bestFit="1" customWidth="1"/>
    <col min="238" max="238" width="26" bestFit="1" customWidth="1"/>
    <col min="239" max="239" width="33.28515625" bestFit="1" customWidth="1"/>
    <col min="240" max="240" width="5.7109375" customWidth="1"/>
    <col min="241" max="241" width="16.5703125" bestFit="1" customWidth="1"/>
    <col min="242" max="242" width="17" bestFit="1" customWidth="1"/>
    <col min="243" max="243" width="26.85546875" bestFit="1" customWidth="1"/>
    <col min="244" max="245" width="12.85546875" bestFit="1" customWidth="1"/>
    <col min="246" max="246" width="26" bestFit="1" customWidth="1"/>
    <col min="247" max="247" width="33.28515625" bestFit="1" customWidth="1"/>
    <col min="248" max="248" width="5.7109375" customWidth="1"/>
    <col min="249" max="249" width="16.5703125" bestFit="1" customWidth="1"/>
    <col min="250" max="250" width="17" bestFit="1" customWidth="1"/>
    <col min="251" max="251" width="26.85546875" bestFit="1" customWidth="1"/>
    <col min="252" max="253" width="12.85546875" bestFit="1" customWidth="1"/>
    <col min="254" max="254" width="26" bestFit="1" customWidth="1"/>
    <col min="255" max="255" width="33.28515625" bestFit="1" customWidth="1"/>
    <col min="256" max="256" width="10.28515625" bestFit="1" customWidth="1"/>
    <col min="257" max="258" width="5.7109375" bestFit="1" customWidth="1"/>
    <col min="259" max="259" width="16.5703125" bestFit="1" customWidth="1"/>
    <col min="260" max="260" width="17" customWidth="1"/>
    <col min="261" max="261" width="26.85546875" bestFit="1" customWidth="1"/>
    <col min="262" max="263" width="12.85546875" bestFit="1" customWidth="1"/>
    <col min="264" max="264" width="26" bestFit="1" customWidth="1"/>
    <col min="265" max="265" width="33.28515625" bestFit="1" customWidth="1"/>
    <col min="266" max="266" width="26.85546875" bestFit="1" customWidth="1"/>
    <col min="267" max="268" width="12.85546875" customWidth="1"/>
    <col min="269" max="269" width="26" bestFit="1" customWidth="1"/>
    <col min="270" max="270" width="33.28515625" bestFit="1" customWidth="1"/>
    <col min="271" max="271" width="12.85546875" bestFit="1" customWidth="1"/>
    <col min="272" max="272" width="26" bestFit="1" customWidth="1"/>
    <col min="273" max="273" width="33.28515625" bestFit="1" customWidth="1"/>
    <col min="274" max="274" width="15.140625" bestFit="1" customWidth="1"/>
    <col min="275" max="275" width="12.42578125" bestFit="1" customWidth="1"/>
    <col min="276" max="276" width="5.7109375" bestFit="1" customWidth="1"/>
    <col min="277" max="277" width="10.28515625" bestFit="1" customWidth="1"/>
    <col min="278" max="278" width="5.7109375" bestFit="1" customWidth="1"/>
    <col min="279" max="279" width="5.7109375" customWidth="1"/>
    <col min="280" max="280" width="16.5703125" bestFit="1" customWidth="1"/>
    <col min="281" max="281" width="17" bestFit="1" customWidth="1"/>
    <col min="282" max="282" width="26.85546875" bestFit="1" customWidth="1"/>
    <col min="283" max="284" width="12.85546875" bestFit="1" customWidth="1"/>
    <col min="285" max="285" width="26" bestFit="1" customWidth="1"/>
    <col min="286" max="286" width="33.28515625" bestFit="1" customWidth="1"/>
    <col min="287" max="287" width="26" bestFit="1" customWidth="1"/>
    <col min="288" max="288" width="33.28515625" bestFit="1" customWidth="1"/>
    <col min="289" max="289" width="5.7109375" bestFit="1" customWidth="1"/>
    <col min="290" max="290" width="16.5703125" bestFit="1" customWidth="1"/>
    <col min="291" max="291" width="17" customWidth="1"/>
    <col min="292" max="292" width="26.85546875" bestFit="1" customWidth="1"/>
    <col min="293" max="294" width="12.85546875" bestFit="1" customWidth="1"/>
    <col min="295" max="295" width="26" bestFit="1" customWidth="1"/>
    <col min="296" max="296" width="33.28515625" bestFit="1" customWidth="1"/>
    <col min="297" max="297" width="26.85546875" bestFit="1" customWidth="1"/>
    <col min="298" max="298" width="12.85546875" bestFit="1" customWidth="1"/>
    <col min="299" max="299" width="12.85546875" customWidth="1"/>
    <col min="300" max="300" width="26" bestFit="1" customWidth="1"/>
    <col min="301" max="301" width="33.28515625" bestFit="1" customWidth="1"/>
    <col min="302" max="302" width="12.85546875" bestFit="1" customWidth="1"/>
    <col min="303" max="303" width="26" bestFit="1" customWidth="1"/>
    <col min="304" max="304" width="33.28515625" bestFit="1" customWidth="1"/>
    <col min="305" max="305" width="26.85546875" customWidth="1"/>
    <col min="306" max="307" width="12.85546875" bestFit="1" customWidth="1"/>
    <col min="308" max="308" width="26" bestFit="1" customWidth="1"/>
    <col min="309" max="309" width="33.28515625" bestFit="1" customWidth="1"/>
    <col min="310" max="311" width="12.85546875" bestFit="1" customWidth="1"/>
    <col min="312" max="312" width="26" bestFit="1" customWidth="1"/>
    <col min="313" max="313" width="33.28515625" bestFit="1" customWidth="1"/>
    <col min="314" max="314" width="17" bestFit="1" customWidth="1"/>
    <col min="315" max="315" width="26.85546875" bestFit="1" customWidth="1"/>
    <col min="316" max="317" width="12.85546875" bestFit="1" customWidth="1"/>
    <col min="318" max="318" width="26" bestFit="1" customWidth="1"/>
    <col min="319" max="319" width="33.28515625" bestFit="1" customWidth="1"/>
    <col min="320" max="320" width="17" bestFit="1" customWidth="1"/>
    <col min="321" max="321" width="26.85546875" bestFit="1" customWidth="1"/>
    <col min="322" max="322" width="12.85546875" bestFit="1" customWidth="1"/>
    <col min="323" max="323" width="12.85546875" customWidth="1"/>
    <col min="324" max="324" width="26" bestFit="1" customWidth="1"/>
    <col min="325" max="325" width="33.28515625" bestFit="1" customWidth="1"/>
    <col min="326" max="326" width="12.85546875" bestFit="1" customWidth="1"/>
    <col min="327" max="327" width="26" bestFit="1" customWidth="1"/>
    <col min="328" max="328" width="33.28515625" bestFit="1" customWidth="1"/>
    <col min="329" max="329" width="26" bestFit="1" customWidth="1"/>
    <col min="330" max="330" width="33.28515625" bestFit="1" customWidth="1"/>
    <col min="331" max="332" width="12.85546875" bestFit="1" customWidth="1"/>
    <col min="333" max="333" width="26" bestFit="1" customWidth="1"/>
    <col min="334" max="334" width="33.28515625" bestFit="1" customWidth="1"/>
    <col min="335" max="335" width="12.85546875" bestFit="1" customWidth="1"/>
    <col min="336" max="336" width="12.85546875" customWidth="1"/>
    <col min="337" max="337" width="26" bestFit="1" customWidth="1"/>
    <col min="338" max="338" width="33.28515625" bestFit="1" customWidth="1"/>
    <col min="339" max="339" width="12.85546875" bestFit="1" customWidth="1"/>
    <col min="340" max="340" width="26" bestFit="1" customWidth="1"/>
    <col min="341" max="341" width="33.28515625" bestFit="1" customWidth="1"/>
    <col min="342" max="342" width="26.85546875" bestFit="1" customWidth="1"/>
    <col min="343" max="343" width="12.85546875" bestFit="1" customWidth="1"/>
    <col min="344" max="344" width="12.85546875" customWidth="1"/>
    <col min="345" max="345" width="26" bestFit="1" customWidth="1"/>
    <col min="346" max="346" width="33.28515625" bestFit="1" customWidth="1"/>
    <col min="347" max="347" width="12.85546875" customWidth="1"/>
    <col min="348" max="348" width="26" bestFit="1" customWidth="1"/>
    <col min="349" max="349" width="33.28515625" bestFit="1" customWidth="1"/>
    <col min="350" max="350" width="12.85546875" customWidth="1"/>
    <col min="351" max="351" width="26" bestFit="1" customWidth="1"/>
    <col min="352" max="352" width="33.28515625" bestFit="1" customWidth="1"/>
    <col min="353" max="353" width="12.85546875" customWidth="1"/>
    <col min="354" max="354" width="26" bestFit="1" customWidth="1"/>
    <col min="355" max="355" width="33.28515625" bestFit="1" customWidth="1"/>
    <col min="356" max="356" width="12.85546875" bestFit="1" customWidth="1"/>
    <col min="357" max="357" width="26" bestFit="1" customWidth="1"/>
    <col min="358" max="358" width="33.28515625" bestFit="1" customWidth="1"/>
    <col min="359" max="359" width="12.85546875" bestFit="1" customWidth="1"/>
    <col min="360" max="360" width="12.85546875" customWidth="1"/>
    <col min="361" max="361" width="26" bestFit="1" customWidth="1"/>
    <col min="362" max="362" width="33.28515625" bestFit="1" customWidth="1"/>
    <col min="363" max="363" width="12.85546875" customWidth="1"/>
    <col min="364" max="364" width="26" bestFit="1" customWidth="1"/>
    <col min="365" max="365" width="33.28515625" bestFit="1" customWidth="1"/>
    <col min="366" max="366" width="12.85546875" bestFit="1" customWidth="1"/>
    <col min="367" max="367" width="26" bestFit="1" customWidth="1"/>
    <col min="368" max="368" width="33.28515625" bestFit="1" customWidth="1"/>
    <col min="369" max="369" width="26.85546875" bestFit="1" customWidth="1"/>
    <col min="370" max="371" width="12.85546875" bestFit="1" customWidth="1"/>
    <col min="372" max="372" width="26" bestFit="1" customWidth="1"/>
    <col min="373" max="373" width="33.28515625" bestFit="1" customWidth="1"/>
    <col min="374" max="375" width="12.85546875" bestFit="1" customWidth="1"/>
    <col min="376" max="376" width="26" bestFit="1" customWidth="1"/>
    <col min="377" max="377" width="33.28515625" bestFit="1" customWidth="1"/>
    <col min="378" max="378" width="17" customWidth="1"/>
    <col min="379" max="379" width="26.85546875" bestFit="1" customWidth="1"/>
    <col min="380" max="381" width="12.85546875" bestFit="1" customWidth="1"/>
    <col min="382" max="382" width="26" bestFit="1" customWidth="1"/>
    <col min="383" max="383" width="33.28515625" bestFit="1" customWidth="1"/>
    <col min="384" max="384" width="26.85546875" bestFit="1" customWidth="1"/>
    <col min="385" max="386" width="12.85546875" bestFit="1" customWidth="1"/>
    <col min="387" max="387" width="26" bestFit="1" customWidth="1"/>
    <col min="388" max="388" width="33.28515625" bestFit="1" customWidth="1"/>
    <col min="389" max="390" width="12.85546875" bestFit="1" customWidth="1"/>
    <col min="391" max="391" width="26" bestFit="1" customWidth="1"/>
    <col min="392" max="392" width="33.28515625" bestFit="1" customWidth="1"/>
    <col min="393" max="393" width="26" bestFit="1" customWidth="1"/>
    <col min="394" max="394" width="33.28515625" bestFit="1" customWidth="1"/>
    <col min="395" max="395" width="26" bestFit="1" customWidth="1"/>
    <col min="396" max="396" width="33.28515625" bestFit="1" customWidth="1"/>
    <col min="397" max="397" width="26" bestFit="1" customWidth="1"/>
    <col min="398" max="398" width="33.28515625" bestFit="1" customWidth="1"/>
    <col min="399" max="399" width="26" bestFit="1" customWidth="1"/>
    <col min="400" max="400" width="33.28515625" bestFit="1" customWidth="1"/>
    <col min="401" max="401" width="26.85546875" bestFit="1" customWidth="1"/>
    <col min="402" max="403" width="12.85546875" bestFit="1" customWidth="1"/>
    <col min="404" max="404" width="26" bestFit="1" customWidth="1"/>
    <col min="405" max="405" width="33.28515625" bestFit="1" customWidth="1"/>
    <col min="406" max="406" width="16.5703125" bestFit="1" customWidth="1"/>
    <col min="407" max="407" width="17" bestFit="1" customWidth="1"/>
    <col min="408" max="408" width="26.85546875" bestFit="1" customWidth="1"/>
    <col min="409" max="410" width="12.85546875" bestFit="1" customWidth="1"/>
    <col min="411" max="411" width="26" bestFit="1" customWidth="1"/>
    <col min="412" max="412" width="33.28515625" bestFit="1" customWidth="1"/>
    <col min="413" max="413" width="26.85546875" bestFit="1" customWidth="1"/>
    <col min="414" max="415" width="12.85546875" bestFit="1" customWidth="1"/>
    <col min="416" max="416" width="26" bestFit="1" customWidth="1"/>
    <col min="417" max="417" width="33.28515625" bestFit="1" customWidth="1"/>
    <col min="418" max="418" width="24.85546875" bestFit="1" customWidth="1"/>
    <col min="419" max="420" width="12.140625" bestFit="1" customWidth="1"/>
    <col min="421" max="421" width="24.28515625" bestFit="1" customWidth="1"/>
    <col min="422" max="422" width="30.85546875" bestFit="1" customWidth="1"/>
    <col min="423" max="424" width="12.85546875" bestFit="1" customWidth="1"/>
    <col min="425" max="425" width="26" bestFit="1" customWidth="1"/>
    <col min="426" max="426" width="33.28515625" bestFit="1" customWidth="1"/>
    <col min="427" max="427" width="26.85546875" bestFit="1" customWidth="1"/>
    <col min="428" max="429" width="12.85546875" bestFit="1" customWidth="1"/>
    <col min="430" max="430" width="26" bestFit="1" customWidth="1"/>
    <col min="431" max="431" width="33.28515625" bestFit="1" customWidth="1"/>
    <col min="432" max="432" width="5.7109375" bestFit="1" customWidth="1"/>
    <col min="433" max="433" width="16.5703125" bestFit="1" customWidth="1"/>
    <col min="434" max="434" width="17" customWidth="1"/>
    <col min="435" max="435" width="26.85546875" bestFit="1" customWidth="1"/>
    <col min="436" max="437" width="12.85546875" bestFit="1" customWidth="1"/>
    <col min="438" max="438" width="26" bestFit="1" customWidth="1"/>
    <col min="439" max="439" width="33.28515625" bestFit="1" customWidth="1"/>
    <col min="440" max="440" width="26.85546875" bestFit="1" customWidth="1"/>
    <col min="441" max="442" width="12.85546875" bestFit="1" customWidth="1"/>
    <col min="443" max="443" width="26" bestFit="1" customWidth="1"/>
    <col min="444" max="444" width="33.28515625" bestFit="1" customWidth="1"/>
    <col min="445" max="445" width="7" bestFit="1" customWidth="1"/>
    <col min="446" max="446" width="16.5703125" bestFit="1" customWidth="1"/>
    <col min="447" max="447" width="17" bestFit="1" customWidth="1"/>
    <col min="448" max="448" width="26.85546875" bestFit="1" customWidth="1"/>
    <col min="449" max="450" width="12.85546875" bestFit="1" customWidth="1"/>
    <col min="451" max="451" width="26" bestFit="1" customWidth="1"/>
    <col min="452" max="452" width="33.28515625" bestFit="1" customWidth="1"/>
    <col min="453" max="453" width="16.5703125" bestFit="1" customWidth="1"/>
    <col min="454" max="454" width="17" bestFit="1" customWidth="1"/>
    <col min="455" max="455" width="26.85546875" bestFit="1" customWidth="1"/>
    <col min="456" max="457" width="12.85546875" customWidth="1"/>
    <col min="458" max="458" width="26" bestFit="1" customWidth="1"/>
    <col min="459" max="459" width="33.28515625" bestFit="1" customWidth="1"/>
    <col min="460" max="460" width="12.85546875" bestFit="1" customWidth="1"/>
    <col min="461" max="461" width="26" bestFit="1" customWidth="1"/>
    <col min="462" max="462" width="33.28515625" bestFit="1" customWidth="1"/>
    <col min="463" max="463" width="26" bestFit="1" customWidth="1"/>
    <col min="464" max="464" width="33.28515625" bestFit="1" customWidth="1"/>
    <col min="465" max="465" width="12.140625" bestFit="1" customWidth="1"/>
    <col min="466" max="466" width="24.28515625" bestFit="1" customWidth="1"/>
    <col min="467" max="467" width="30.85546875" bestFit="1" customWidth="1"/>
    <col min="468" max="468" width="26.85546875" bestFit="1" customWidth="1"/>
    <col min="469" max="470" width="12.85546875" bestFit="1" customWidth="1"/>
    <col min="471" max="471" width="26" bestFit="1" customWidth="1"/>
    <col min="472" max="472" width="33.28515625" bestFit="1" customWidth="1"/>
    <col min="473" max="473" width="7" customWidth="1"/>
    <col min="474" max="474" width="16.5703125" bestFit="1" customWidth="1"/>
    <col min="475" max="475" width="17" bestFit="1" customWidth="1"/>
    <col min="476" max="476" width="26.85546875" bestFit="1" customWidth="1"/>
    <col min="477" max="478" width="12.85546875" bestFit="1" customWidth="1"/>
    <col min="479" max="479" width="26" bestFit="1" customWidth="1"/>
    <col min="480" max="480" width="33.28515625" bestFit="1" customWidth="1"/>
    <col min="481" max="481" width="16.5703125" bestFit="1" customWidth="1"/>
    <col min="482" max="482" width="17" bestFit="1" customWidth="1"/>
    <col min="483" max="483" width="26.85546875" bestFit="1" customWidth="1"/>
    <col min="484" max="485" width="12.85546875" bestFit="1" customWidth="1"/>
    <col min="486" max="486" width="26" bestFit="1" customWidth="1"/>
    <col min="487" max="487" width="33.28515625" bestFit="1" customWidth="1"/>
    <col min="488" max="489" width="12.85546875" bestFit="1" customWidth="1"/>
    <col min="490" max="490" width="26" bestFit="1" customWidth="1"/>
    <col min="491" max="491" width="33.28515625" bestFit="1" customWidth="1"/>
    <col min="492" max="492" width="26.85546875" customWidth="1"/>
    <col min="493" max="494" width="12.85546875" bestFit="1" customWidth="1"/>
    <col min="495" max="495" width="26" bestFit="1" customWidth="1"/>
    <col min="496" max="496" width="33.28515625" bestFit="1" customWidth="1"/>
    <col min="497" max="498" width="12.85546875" bestFit="1" customWidth="1"/>
    <col min="499" max="499" width="26" bestFit="1" customWidth="1"/>
    <col min="500" max="500" width="33.28515625" bestFit="1" customWidth="1"/>
    <col min="501" max="501" width="26" bestFit="1" customWidth="1"/>
    <col min="502" max="502" width="33.28515625" bestFit="1" customWidth="1"/>
    <col min="503" max="503" width="26.85546875" bestFit="1" customWidth="1"/>
    <col min="504" max="505" width="12.85546875" bestFit="1" customWidth="1"/>
    <col min="506" max="506" width="26" bestFit="1" customWidth="1"/>
    <col min="507" max="507" width="33.28515625" bestFit="1" customWidth="1"/>
    <col min="508" max="508" width="26" bestFit="1" customWidth="1"/>
    <col min="509" max="509" width="33.28515625" bestFit="1" customWidth="1"/>
    <col min="510" max="510" width="26.85546875" bestFit="1" customWidth="1"/>
    <col min="511" max="512" width="12.85546875" bestFit="1" customWidth="1"/>
    <col min="513" max="513" width="26" bestFit="1" customWidth="1"/>
    <col min="514" max="514" width="33.28515625" bestFit="1" customWidth="1"/>
    <col min="515" max="515" width="26" bestFit="1" customWidth="1"/>
    <col min="516" max="516" width="33.28515625" bestFit="1" customWidth="1"/>
    <col min="517" max="517" width="26" bestFit="1" customWidth="1"/>
    <col min="518" max="518" width="33.28515625" bestFit="1" customWidth="1"/>
    <col min="519" max="519" width="26.85546875" bestFit="1" customWidth="1"/>
    <col min="520" max="521" width="12.85546875" bestFit="1" customWidth="1"/>
    <col min="522" max="522" width="26" bestFit="1" customWidth="1"/>
    <col min="523" max="523" width="33.28515625" bestFit="1" customWidth="1"/>
  </cols>
  <sheetData>
    <row r="1" spans="1:78" x14ac:dyDescent="0.25">
      <c r="A1" t="s">
        <v>0</v>
      </c>
      <c r="B1" t="s">
        <v>38</v>
      </c>
      <c r="C1" t="s">
        <v>46</v>
      </c>
      <c r="D1" t="s">
        <v>17</v>
      </c>
      <c r="E1" t="s">
        <v>42</v>
      </c>
      <c r="F1" t="s">
        <v>41</v>
      </c>
      <c r="G1" t="s">
        <v>124</v>
      </c>
      <c r="H1" t="s">
        <v>125</v>
      </c>
      <c r="I1" t="s">
        <v>126</v>
      </c>
      <c r="J1" t="s">
        <v>127</v>
      </c>
      <c r="K1" t="s">
        <v>418</v>
      </c>
      <c r="L1" t="s">
        <v>419</v>
      </c>
      <c r="M1" t="s">
        <v>420</v>
      </c>
      <c r="N1" t="s">
        <v>421</v>
      </c>
      <c r="O1" t="s">
        <v>366</v>
      </c>
      <c r="P1" t="s">
        <v>367</v>
      </c>
      <c r="Q1" t="s">
        <v>128</v>
      </c>
      <c r="R1" t="s">
        <v>129</v>
      </c>
      <c r="S1" t="s">
        <v>163</v>
      </c>
      <c r="T1" t="s">
        <v>164</v>
      </c>
      <c r="U1" t="s">
        <v>65</v>
      </c>
      <c r="V1" t="s">
        <v>44</v>
      </c>
      <c r="W1" t="s">
        <v>130</v>
      </c>
      <c r="X1" t="s">
        <v>131</v>
      </c>
      <c r="Y1" t="s">
        <v>165</v>
      </c>
      <c r="Z1" t="s">
        <v>166</v>
      </c>
      <c r="AA1" t="s">
        <v>422</v>
      </c>
      <c r="AB1" t="s">
        <v>423</v>
      </c>
      <c r="AC1" t="s">
        <v>88</v>
      </c>
      <c r="AD1" t="s">
        <v>89</v>
      </c>
      <c r="AE1" t="s">
        <v>240</v>
      </c>
      <c r="AF1" t="s">
        <v>241</v>
      </c>
      <c r="AG1" t="s">
        <v>242</v>
      </c>
      <c r="AH1" t="s">
        <v>243</v>
      </c>
      <c r="AI1" t="s">
        <v>39</v>
      </c>
      <c r="AJ1" t="s">
        <v>262</v>
      </c>
      <c r="AK1" t="s">
        <v>263</v>
      </c>
      <c r="AL1" t="s">
        <v>299</v>
      </c>
      <c r="AM1" t="s">
        <v>300</v>
      </c>
      <c r="AN1" t="s">
        <v>171</v>
      </c>
      <c r="AO1" t="s">
        <v>244</v>
      </c>
      <c r="AP1" t="s">
        <v>270</v>
      </c>
      <c r="AQ1" t="s">
        <v>40</v>
      </c>
      <c r="AR1" t="s">
        <v>47</v>
      </c>
      <c r="AS1" t="s">
        <v>63</v>
      </c>
      <c r="AT1" t="s">
        <v>117</v>
      </c>
      <c r="AU1" t="s">
        <v>118</v>
      </c>
      <c r="AV1" t="s">
        <v>48</v>
      </c>
      <c r="AW1" t="s">
        <v>49</v>
      </c>
      <c r="AX1" t="s">
        <v>119</v>
      </c>
      <c r="AY1" t="s">
        <v>120</v>
      </c>
      <c r="AZ1" t="s">
        <v>301</v>
      </c>
      <c r="BA1" t="s">
        <v>302</v>
      </c>
      <c r="BB1" t="s">
        <v>558</v>
      </c>
      <c r="BC1" t="s">
        <v>232</v>
      </c>
      <c r="BD1" t="s">
        <v>319</v>
      </c>
      <c r="BE1" t="s">
        <v>400</v>
      </c>
      <c r="BF1" t="s">
        <v>401</v>
      </c>
      <c r="BG1" t="s">
        <v>50</v>
      </c>
      <c r="BH1" t="s">
        <v>51</v>
      </c>
      <c r="BI1" t="s">
        <v>52</v>
      </c>
      <c r="BJ1" t="s">
        <v>53</v>
      </c>
      <c r="BK1" t="s">
        <v>54</v>
      </c>
      <c r="BL1" t="s">
        <v>61</v>
      </c>
      <c r="BM1" t="s">
        <v>62</v>
      </c>
      <c r="BN1" t="s">
        <v>18</v>
      </c>
      <c r="BO1" t="s">
        <v>21</v>
      </c>
      <c r="BP1" t="s">
        <v>19</v>
      </c>
      <c r="BQ1" t="s">
        <v>20</v>
      </c>
      <c r="BR1" t="s">
        <v>22</v>
      </c>
      <c r="BS1" t="s">
        <v>69</v>
      </c>
      <c r="BT1" t="s">
        <v>231</v>
      </c>
      <c r="BU1" t="s">
        <v>13</v>
      </c>
      <c r="BV1" t="s">
        <v>23</v>
      </c>
      <c r="BW1" t="s">
        <v>24</v>
      </c>
      <c r="BX1" t="s">
        <v>25</v>
      </c>
      <c r="BY1" t="s">
        <v>100</v>
      </c>
      <c r="BZ1" t="s">
        <v>14</v>
      </c>
    </row>
    <row r="2" spans="1:78" x14ac:dyDescent="0.25">
      <c r="A2">
        <v>836</v>
      </c>
      <c r="B2" s="2">
        <v>45205</v>
      </c>
      <c r="C2" t="s">
        <v>406</v>
      </c>
      <c r="D2">
        <v>8</v>
      </c>
      <c r="E2">
        <v>129.15</v>
      </c>
      <c r="F2">
        <v>1033.2</v>
      </c>
      <c r="U2">
        <v>326.40000000000009</v>
      </c>
      <c r="V2" t="s">
        <v>403</v>
      </c>
      <c r="AI2">
        <v>88.35</v>
      </c>
      <c r="AQ2">
        <v>706.8</v>
      </c>
      <c r="AS2" t="s">
        <v>18</v>
      </c>
      <c r="BN2">
        <v>129.15</v>
      </c>
      <c r="BO2">
        <v>248.33</v>
      </c>
      <c r="BP2">
        <v>216.61</v>
      </c>
      <c r="BQ2">
        <v>313.7</v>
      </c>
      <c r="BR2">
        <v>9.81</v>
      </c>
      <c r="BS2">
        <v>0</v>
      </c>
      <c r="BT2">
        <v>0</v>
      </c>
      <c r="BU2">
        <v>38.76</v>
      </c>
      <c r="BV2">
        <v>7.67</v>
      </c>
      <c r="BW2">
        <v>8.7899999999999991</v>
      </c>
      <c r="BX2">
        <v>68.58</v>
      </c>
      <c r="BY2" t="s">
        <v>178</v>
      </c>
      <c r="BZ2">
        <v>2.79</v>
      </c>
    </row>
    <row r="3" spans="1:78" x14ac:dyDescent="0.25">
      <c r="A3">
        <v>836</v>
      </c>
      <c r="B3" s="2">
        <v>45207</v>
      </c>
      <c r="C3" t="s">
        <v>407</v>
      </c>
      <c r="D3">
        <v>8</v>
      </c>
      <c r="E3">
        <v>9.81</v>
      </c>
      <c r="F3">
        <v>78.48</v>
      </c>
      <c r="G3" t="s">
        <v>90</v>
      </c>
      <c r="H3" t="s">
        <v>460</v>
      </c>
      <c r="I3" t="s">
        <v>60</v>
      </c>
      <c r="J3" t="s">
        <v>60</v>
      </c>
      <c r="K3" t="s">
        <v>60</v>
      </c>
      <c r="L3" t="s">
        <v>60</v>
      </c>
      <c r="M3" t="s">
        <v>60</v>
      </c>
      <c r="N3" t="s">
        <v>60</v>
      </c>
      <c r="O3" t="s">
        <v>60</v>
      </c>
      <c r="P3" t="s">
        <v>60</v>
      </c>
      <c r="Q3" t="s">
        <v>461</v>
      </c>
      <c r="R3" t="s">
        <v>462</v>
      </c>
      <c r="S3" t="s">
        <v>60</v>
      </c>
      <c r="T3" t="s">
        <v>60</v>
      </c>
      <c r="U3">
        <v>16.880000000000003</v>
      </c>
      <c r="V3" t="s">
        <v>403</v>
      </c>
      <c r="W3" t="s">
        <v>60</v>
      </c>
      <c r="X3" t="s">
        <v>60</v>
      </c>
      <c r="Y3" t="s">
        <v>60</v>
      </c>
      <c r="Z3" t="s">
        <v>60</v>
      </c>
      <c r="AA3" t="s">
        <v>60</v>
      </c>
      <c r="AB3" t="s">
        <v>60</v>
      </c>
      <c r="AC3" t="s">
        <v>60</v>
      </c>
      <c r="AD3" t="s">
        <v>60</v>
      </c>
      <c r="AE3" t="s">
        <v>60</v>
      </c>
      <c r="AF3" t="s">
        <v>60</v>
      </c>
      <c r="AG3" t="s">
        <v>57</v>
      </c>
      <c r="AH3" t="s">
        <v>463</v>
      </c>
      <c r="AI3">
        <v>7.7</v>
      </c>
      <c r="AQ3">
        <v>61.6</v>
      </c>
      <c r="AR3" t="s">
        <v>55</v>
      </c>
      <c r="AS3" t="s">
        <v>22</v>
      </c>
      <c r="AV3" t="s">
        <v>56</v>
      </c>
      <c r="AW3" t="s">
        <v>57</v>
      </c>
      <c r="BG3" t="s">
        <v>58</v>
      </c>
      <c r="BH3" t="s">
        <v>59</v>
      </c>
      <c r="BN3">
        <v>129.15</v>
      </c>
      <c r="BO3">
        <v>248.33</v>
      </c>
      <c r="BP3">
        <v>216.61</v>
      </c>
      <c r="BQ3">
        <v>313.7</v>
      </c>
      <c r="BR3">
        <v>9.81</v>
      </c>
      <c r="BS3">
        <v>0</v>
      </c>
      <c r="BT3">
        <v>0</v>
      </c>
      <c r="BU3">
        <v>38.76</v>
      </c>
      <c r="BV3">
        <v>7.67</v>
      </c>
      <c r="BW3">
        <v>8.7899999999999991</v>
      </c>
      <c r="BX3">
        <v>68.58</v>
      </c>
      <c r="BY3" t="s">
        <v>178</v>
      </c>
      <c r="BZ3">
        <v>2.79</v>
      </c>
    </row>
    <row r="4" spans="1:78" x14ac:dyDescent="0.25">
      <c r="A4">
        <v>836</v>
      </c>
      <c r="B4" s="2">
        <v>45207</v>
      </c>
      <c r="C4" t="s">
        <v>408</v>
      </c>
      <c r="D4">
        <v>1</v>
      </c>
      <c r="E4">
        <v>68.58</v>
      </c>
      <c r="F4">
        <v>68.58</v>
      </c>
      <c r="G4" t="s">
        <v>90</v>
      </c>
      <c r="H4" t="s">
        <v>460</v>
      </c>
      <c r="I4" t="s">
        <v>60</v>
      </c>
      <c r="J4" t="s">
        <v>60</v>
      </c>
      <c r="K4" t="s">
        <v>60</v>
      </c>
      <c r="L4" t="s">
        <v>60</v>
      </c>
      <c r="M4" t="s">
        <v>60</v>
      </c>
      <c r="N4" t="s">
        <v>60</v>
      </c>
      <c r="O4" t="s">
        <v>60</v>
      </c>
      <c r="P4" t="s">
        <v>60</v>
      </c>
      <c r="Q4" t="s">
        <v>461</v>
      </c>
      <c r="R4" t="s">
        <v>462</v>
      </c>
      <c r="S4" t="s">
        <v>60</v>
      </c>
      <c r="T4" t="s">
        <v>60</v>
      </c>
      <c r="U4">
        <v>13.579999999999998</v>
      </c>
      <c r="V4" t="s">
        <v>403</v>
      </c>
      <c r="W4" t="s">
        <v>60</v>
      </c>
      <c r="X4" t="s">
        <v>60</v>
      </c>
      <c r="Y4" t="s">
        <v>60</v>
      </c>
      <c r="Z4" t="s">
        <v>60</v>
      </c>
      <c r="AA4" t="s">
        <v>60</v>
      </c>
      <c r="AB4" t="s">
        <v>60</v>
      </c>
      <c r="AC4" t="s">
        <v>60</v>
      </c>
      <c r="AD4" t="s">
        <v>60</v>
      </c>
      <c r="AE4" t="s">
        <v>60</v>
      </c>
      <c r="AF4" t="s">
        <v>60</v>
      </c>
      <c r="AG4">
        <v>1</v>
      </c>
      <c r="AH4">
        <v>55</v>
      </c>
      <c r="AI4">
        <v>55</v>
      </c>
      <c r="AJ4">
        <v>0</v>
      </c>
      <c r="AK4">
        <v>0</v>
      </c>
      <c r="AL4" t="s">
        <v>60</v>
      </c>
      <c r="AM4" t="s">
        <v>60</v>
      </c>
      <c r="AN4" t="s">
        <v>60</v>
      </c>
      <c r="AO4" t="s">
        <v>60</v>
      </c>
      <c r="AP4" t="s">
        <v>60</v>
      </c>
      <c r="AQ4">
        <v>55</v>
      </c>
      <c r="AR4" t="s">
        <v>55</v>
      </c>
      <c r="AS4" t="s">
        <v>25</v>
      </c>
      <c r="AT4" t="s">
        <v>576</v>
      </c>
      <c r="AU4" t="s">
        <v>577</v>
      </c>
      <c r="AV4" t="s">
        <v>56</v>
      </c>
      <c r="AW4" t="s">
        <v>57</v>
      </c>
      <c r="AX4" t="s">
        <v>121</v>
      </c>
      <c r="AY4" t="s">
        <v>578</v>
      </c>
      <c r="AZ4" t="s">
        <v>60</v>
      </c>
      <c r="BA4" t="s">
        <v>60</v>
      </c>
      <c r="BB4" t="s">
        <v>60</v>
      </c>
      <c r="BC4" t="s">
        <v>60</v>
      </c>
      <c r="BD4" t="s">
        <v>60</v>
      </c>
      <c r="BE4" t="s">
        <v>60</v>
      </c>
      <c r="BF4" t="s">
        <v>60</v>
      </c>
      <c r="BG4" t="s">
        <v>58</v>
      </c>
      <c r="BH4" t="s">
        <v>59</v>
      </c>
      <c r="BI4" t="s">
        <v>574</v>
      </c>
      <c r="BJ4" t="s">
        <v>574</v>
      </c>
      <c r="BK4" t="s">
        <v>575</v>
      </c>
      <c r="BL4" t="s">
        <v>90</v>
      </c>
      <c r="BM4" t="s">
        <v>579</v>
      </c>
      <c r="BN4">
        <v>129.15</v>
      </c>
      <c r="BO4">
        <v>248.33</v>
      </c>
      <c r="BP4">
        <v>216.61</v>
      </c>
      <c r="BQ4">
        <v>313.7</v>
      </c>
      <c r="BR4">
        <v>9.81</v>
      </c>
      <c r="BS4">
        <v>0</v>
      </c>
      <c r="BT4">
        <v>0</v>
      </c>
      <c r="BU4">
        <v>38.76</v>
      </c>
      <c r="BV4">
        <v>7.67</v>
      </c>
      <c r="BW4">
        <v>8.7899999999999991</v>
      </c>
      <c r="BX4">
        <v>68.58</v>
      </c>
      <c r="BY4" t="s">
        <v>178</v>
      </c>
      <c r="BZ4">
        <v>2.79</v>
      </c>
    </row>
    <row r="5" spans="1:78" x14ac:dyDescent="0.25">
      <c r="B5" s="2"/>
      <c r="F5">
        <f>SUBTOTAL(109,WAB_invoice[Amount])</f>
        <v>1180.26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079CB-F2B8-4235-A0D3-A33635286D3B}">
  <sheetPr codeName="Sheet12">
    <tabColor rgb="FFFF0000"/>
  </sheetPr>
  <dimension ref="A1:BZ3"/>
  <sheetViews>
    <sheetView workbookViewId="0">
      <selection sqref="A1:BZ3"/>
    </sheetView>
  </sheetViews>
  <sheetFormatPr defaultRowHeight="15" x14ac:dyDescent="0.25"/>
  <cols>
    <col min="1" max="1" width="20.140625" bestFit="1" customWidth="1"/>
    <col min="2" max="2" width="10.85546875" bestFit="1" customWidth="1"/>
    <col min="3" max="3" width="13.42578125" bestFit="1" customWidth="1"/>
    <col min="4" max="4" width="7.140625" bestFit="1" customWidth="1"/>
    <col min="5" max="5" width="7.28515625" bestFit="1" customWidth="1"/>
    <col min="6" max="6" width="10.42578125" bestFit="1" customWidth="1"/>
    <col min="7" max="7" width="21.42578125" bestFit="1" customWidth="1"/>
    <col min="8" max="8" width="19.140625" bestFit="1" customWidth="1"/>
    <col min="9" max="9" width="20" bestFit="1" customWidth="1"/>
    <col min="10" max="10" width="17.7109375" bestFit="1" customWidth="1"/>
    <col min="11" max="11" width="20.42578125" bestFit="1" customWidth="1"/>
    <col min="12" max="12" width="18.140625" bestFit="1" customWidth="1"/>
    <col min="13" max="13" width="28" bestFit="1" customWidth="1"/>
    <col min="14" max="14" width="25.7109375" bestFit="1" customWidth="1"/>
    <col min="15" max="15" width="18" bestFit="1" customWidth="1"/>
    <col min="16" max="16" width="15.85546875" bestFit="1" customWidth="1"/>
    <col min="17" max="17" width="17" bestFit="1" customWidth="1"/>
    <col min="18" max="18" width="14.7109375" bestFit="1" customWidth="1"/>
    <col min="19" max="19" width="23" bestFit="1" customWidth="1"/>
    <col min="20" max="20" width="20.85546875" bestFit="1" customWidth="1"/>
    <col min="21" max="21" width="9.5703125" bestFit="1" customWidth="1"/>
    <col min="22" max="22" width="10.7109375" bestFit="1" customWidth="1"/>
    <col min="23" max="23" width="20" bestFit="1" customWidth="1"/>
    <col min="24" max="24" width="17.7109375" bestFit="1" customWidth="1"/>
    <col min="25" max="25" width="20.42578125" bestFit="1" customWidth="1"/>
    <col min="26" max="26" width="18.140625" bestFit="1" customWidth="1"/>
    <col min="27" max="27" width="20.7109375" bestFit="1" customWidth="1"/>
    <col min="28" max="28" width="18.42578125" bestFit="1" customWidth="1"/>
    <col min="29" max="29" width="42.28515625" bestFit="1" customWidth="1"/>
    <col min="30" max="30" width="40" bestFit="1" customWidth="1"/>
    <col min="31" max="31" width="32.85546875" bestFit="1" customWidth="1"/>
    <col min="32" max="32" width="29.140625" bestFit="1" customWidth="1"/>
    <col min="33" max="33" width="32" bestFit="1" customWidth="1"/>
    <col min="34" max="34" width="27.28515625" bestFit="1" customWidth="1"/>
    <col min="35" max="35" width="11.5703125" bestFit="1" customWidth="1"/>
    <col min="36" max="36" width="32.7109375" bestFit="1" customWidth="1"/>
    <col min="37" max="37" width="28.140625" bestFit="1" customWidth="1"/>
    <col min="38" max="38" width="40" bestFit="1" customWidth="1"/>
    <col min="39" max="39" width="36.42578125" bestFit="1" customWidth="1"/>
    <col min="40" max="40" width="33.140625" bestFit="1" customWidth="1"/>
    <col min="41" max="41" width="15.42578125" bestFit="1" customWidth="1"/>
    <col min="42" max="42" width="13.140625" bestFit="1" customWidth="1"/>
    <col min="43" max="43" width="14.7109375" bestFit="1" customWidth="1"/>
    <col min="44" max="44" width="20.7109375" bestFit="1" customWidth="1"/>
    <col min="45" max="45" width="20.5703125" bestFit="1" customWidth="1"/>
    <col min="46" max="46" width="6.5703125" bestFit="1" customWidth="1"/>
    <col min="47" max="47" width="17.5703125" bestFit="1" customWidth="1"/>
    <col min="48" max="49" width="13.140625" bestFit="1" customWidth="1"/>
    <col min="50" max="50" width="21" bestFit="1" customWidth="1"/>
    <col min="51" max="51" width="34.42578125" bestFit="1" customWidth="1"/>
    <col min="52" max="52" width="27.42578125" bestFit="1" customWidth="1"/>
    <col min="53" max="53" width="27.140625" bestFit="1" customWidth="1"/>
    <col min="54" max="54" width="24.140625" bestFit="1" customWidth="1"/>
    <col min="55" max="58" width="5.28515625" bestFit="1" customWidth="1"/>
    <col min="59" max="59" width="18.28515625" bestFit="1" customWidth="1"/>
    <col min="60" max="60" width="16" bestFit="1" customWidth="1"/>
    <col min="61" max="61" width="8.28515625" bestFit="1" customWidth="1"/>
    <col min="62" max="62" width="17.28515625" bestFit="1" customWidth="1"/>
    <col min="63" max="63" width="11.140625" bestFit="1" customWidth="1"/>
    <col min="64" max="64" width="26.42578125" bestFit="1" customWidth="1"/>
    <col min="65" max="65" width="24.28515625" bestFit="1" customWidth="1"/>
    <col min="66" max="66" width="5.7109375" bestFit="1" customWidth="1"/>
    <col min="67" max="67" width="10.28515625" bestFit="1" customWidth="1"/>
    <col min="68" max="68" width="5.7109375" bestFit="1" customWidth="1"/>
    <col min="69" max="69" width="5.7109375" customWidth="1"/>
    <col min="70" max="70" width="16.5703125" bestFit="1" customWidth="1"/>
    <col min="71" max="71" width="17" bestFit="1" customWidth="1"/>
    <col min="72" max="72" width="30.85546875" bestFit="1" customWidth="1"/>
    <col min="73" max="73" width="26.85546875" bestFit="1" customWidth="1"/>
    <col min="74" max="75" width="12.85546875" bestFit="1" customWidth="1"/>
    <col min="76" max="76" width="26" bestFit="1" customWidth="1"/>
    <col min="77" max="77" width="17.28515625" bestFit="1" customWidth="1"/>
    <col min="78" max="79" width="33.28515625" bestFit="1" customWidth="1"/>
    <col min="80" max="80" width="30.85546875" bestFit="1" customWidth="1"/>
    <col min="81" max="81" width="26.85546875" bestFit="1" customWidth="1"/>
    <col min="82" max="83" width="12.85546875" bestFit="1" customWidth="1"/>
    <col min="84" max="84" width="26" bestFit="1" customWidth="1"/>
    <col min="85" max="85" width="17.28515625" bestFit="1" customWidth="1"/>
    <col min="86" max="86" width="33.28515625" bestFit="1" customWidth="1"/>
    <col min="87" max="87" width="26.85546875" bestFit="1" customWidth="1"/>
    <col min="88" max="89" width="12.85546875" bestFit="1" customWidth="1"/>
    <col min="90" max="90" width="26" bestFit="1" customWidth="1"/>
    <col min="91" max="91" width="17.28515625" bestFit="1" customWidth="1"/>
    <col min="92" max="92" width="33.28515625" bestFit="1" customWidth="1"/>
    <col min="93" max="93" width="26" bestFit="1" customWidth="1"/>
    <col min="94" max="94" width="17.28515625" bestFit="1" customWidth="1"/>
    <col min="95" max="95" width="33.28515625" bestFit="1" customWidth="1"/>
    <col min="96" max="96" width="12.85546875" bestFit="1" customWidth="1"/>
    <col min="97" max="97" width="26" bestFit="1" customWidth="1"/>
    <col min="98" max="98" width="17.28515625" bestFit="1" customWidth="1"/>
    <col min="99" max="99" width="33.28515625" bestFit="1" customWidth="1"/>
    <col min="100" max="101" width="12.85546875" bestFit="1" customWidth="1"/>
    <col min="102" max="102" width="26" bestFit="1" customWidth="1"/>
    <col min="103" max="103" width="17.28515625" bestFit="1" customWidth="1"/>
    <col min="104" max="104" width="33.28515625" bestFit="1" customWidth="1"/>
    <col min="105" max="105" width="26" bestFit="1" customWidth="1"/>
    <col min="106" max="106" width="17.28515625" bestFit="1" customWidth="1"/>
    <col min="107" max="107" width="33.28515625" bestFit="1" customWidth="1"/>
    <col min="108" max="108" width="12.85546875" bestFit="1" customWidth="1"/>
    <col min="109" max="109" width="26" bestFit="1" customWidth="1"/>
    <col min="110" max="110" width="17.28515625" bestFit="1" customWidth="1"/>
    <col min="111" max="111" width="33.28515625" customWidth="1"/>
    <col min="112" max="112" width="30.85546875" bestFit="1" customWidth="1"/>
    <col min="113" max="113" width="26.85546875" bestFit="1" customWidth="1"/>
    <col min="114" max="115" width="12.85546875" bestFit="1" customWidth="1"/>
    <col min="116" max="116" width="26" bestFit="1" customWidth="1"/>
    <col min="117" max="117" width="17.28515625" bestFit="1" customWidth="1"/>
    <col min="118" max="118" width="33.28515625" bestFit="1" customWidth="1"/>
    <col min="119" max="120" width="12.85546875" bestFit="1" customWidth="1"/>
    <col min="121" max="121" width="26" bestFit="1" customWidth="1"/>
    <col min="122" max="122" width="17.28515625" bestFit="1" customWidth="1"/>
    <col min="123" max="123" width="33.28515625" bestFit="1" customWidth="1"/>
    <col min="124" max="124" width="17.28515625" bestFit="1" customWidth="1"/>
    <col min="125" max="125" width="33.28515625" bestFit="1" customWidth="1"/>
    <col min="126" max="126" width="26.85546875" bestFit="1" customWidth="1"/>
    <col min="127" max="127" width="12.85546875" bestFit="1" customWidth="1"/>
    <col min="128" max="128" width="12.85546875" customWidth="1"/>
    <col min="129" max="129" width="26" bestFit="1" customWidth="1"/>
    <col min="130" max="130" width="17.28515625" bestFit="1" customWidth="1"/>
    <col min="131" max="131" width="33.28515625" bestFit="1" customWidth="1"/>
    <col min="132" max="132" width="26" bestFit="1" customWidth="1"/>
    <col min="133" max="133" width="17.28515625" bestFit="1" customWidth="1"/>
    <col min="134" max="134" width="33.28515625" bestFit="1" customWidth="1"/>
    <col min="135" max="135" width="12.85546875" bestFit="1" customWidth="1"/>
    <col min="136" max="136" width="26" bestFit="1" customWidth="1"/>
    <col min="137" max="137" width="17.28515625" bestFit="1" customWidth="1"/>
    <col min="138" max="138" width="33.28515625" bestFit="1" customWidth="1"/>
    <col min="139" max="139" width="17.28515625" bestFit="1" customWidth="1"/>
    <col min="140" max="140" width="33.28515625" bestFit="1" customWidth="1"/>
    <col min="141" max="141" width="26.85546875" bestFit="1" customWidth="1"/>
    <col min="142" max="143" width="12.85546875" bestFit="1" customWidth="1"/>
    <col min="144" max="144" width="26" bestFit="1" customWidth="1"/>
    <col min="145" max="145" width="17.28515625" bestFit="1" customWidth="1"/>
    <col min="146" max="146" width="33.28515625" bestFit="1" customWidth="1"/>
    <col min="147" max="147" width="17" bestFit="1" customWidth="1"/>
    <col min="148" max="148" width="30.85546875" bestFit="1" customWidth="1"/>
    <col min="149" max="149" width="26.85546875" bestFit="1" customWidth="1"/>
    <col min="150" max="151" width="12.85546875" bestFit="1" customWidth="1"/>
    <col min="152" max="152" width="26" bestFit="1" customWidth="1"/>
    <col min="153" max="153" width="17.28515625" bestFit="1" customWidth="1"/>
    <col min="154" max="154" width="33.28515625" bestFit="1" customWidth="1"/>
    <col min="155" max="155" width="26.85546875" bestFit="1" customWidth="1"/>
    <col min="156" max="157" width="12.85546875" bestFit="1" customWidth="1"/>
    <col min="158" max="158" width="26" bestFit="1" customWidth="1"/>
    <col min="159" max="159" width="17.28515625" bestFit="1" customWidth="1"/>
    <col min="160" max="160" width="33.28515625" bestFit="1" customWidth="1"/>
    <col min="161" max="161" width="25.7109375" bestFit="1" customWidth="1"/>
    <col min="162" max="163" width="12.42578125" bestFit="1" customWidth="1"/>
    <col min="164" max="164" width="24.85546875" bestFit="1" customWidth="1"/>
    <col min="165" max="165" width="16.5703125" bestFit="1" customWidth="1"/>
    <col min="166" max="166" width="31.85546875" bestFit="1" customWidth="1"/>
    <col min="167" max="167" width="6.85546875" bestFit="1" customWidth="1"/>
    <col min="168" max="168" width="15.85546875" bestFit="1" customWidth="1"/>
    <col min="169" max="169" width="16.42578125" bestFit="1" customWidth="1"/>
    <col min="170" max="170" width="29.5703125" bestFit="1" customWidth="1"/>
    <col min="171" max="171" width="25.7109375" bestFit="1" customWidth="1"/>
    <col min="172" max="173" width="12.42578125" bestFit="1" customWidth="1"/>
    <col min="174" max="174" width="24.85546875" bestFit="1" customWidth="1"/>
    <col min="175" max="175" width="16.5703125" bestFit="1" customWidth="1"/>
    <col min="176" max="176" width="31.85546875" bestFit="1" customWidth="1"/>
    <col min="177" max="177" width="12.85546875" bestFit="1" customWidth="1"/>
    <col min="178" max="178" width="26" bestFit="1" customWidth="1"/>
    <col min="179" max="179" width="17.28515625" bestFit="1" customWidth="1"/>
    <col min="180" max="180" width="33.28515625" bestFit="1" customWidth="1"/>
    <col min="181" max="181" width="26.85546875" bestFit="1" customWidth="1"/>
    <col min="182" max="182" width="12.85546875" bestFit="1" customWidth="1"/>
    <col min="183" max="183" width="12.85546875" customWidth="1"/>
    <col min="184" max="184" width="26" bestFit="1" customWidth="1"/>
    <col min="185" max="185" width="17.28515625" bestFit="1" customWidth="1"/>
    <col min="186" max="186" width="33.28515625" bestFit="1" customWidth="1"/>
    <col min="187" max="187" width="12.85546875" bestFit="1" customWidth="1"/>
    <col min="188" max="188" width="26" bestFit="1" customWidth="1"/>
    <col min="189" max="189" width="17.28515625" bestFit="1" customWidth="1"/>
    <col min="190" max="190" width="33.28515625" bestFit="1" customWidth="1"/>
    <col min="191" max="191" width="16.5703125" bestFit="1" customWidth="1"/>
    <col min="192" max="192" width="17" bestFit="1" customWidth="1"/>
    <col min="193" max="193" width="26.85546875" bestFit="1" customWidth="1"/>
    <col min="194" max="195" width="12.85546875" bestFit="1" customWidth="1"/>
    <col min="196" max="196" width="26" bestFit="1" customWidth="1"/>
    <col min="197" max="197" width="17.28515625" bestFit="1" customWidth="1"/>
    <col min="198" max="198" width="33.28515625" bestFit="1" customWidth="1"/>
    <col min="199" max="200" width="12.85546875" bestFit="1" customWidth="1"/>
    <col min="201" max="201" width="26" bestFit="1" customWidth="1"/>
    <col min="202" max="202" width="17.28515625" bestFit="1" customWidth="1"/>
    <col min="203" max="203" width="33.28515625" bestFit="1" customWidth="1"/>
    <col min="204" max="204" width="26.85546875" bestFit="1" customWidth="1"/>
    <col min="205" max="206" width="12.85546875" bestFit="1" customWidth="1"/>
    <col min="207" max="207" width="26" bestFit="1" customWidth="1"/>
    <col min="208" max="208" width="17.28515625" bestFit="1" customWidth="1"/>
    <col min="209" max="209" width="33.28515625" bestFit="1" customWidth="1"/>
    <col min="210" max="210" width="16.5703125" bestFit="1" customWidth="1"/>
    <col min="211" max="211" width="17" bestFit="1" customWidth="1"/>
    <col min="212" max="212" width="26.85546875" bestFit="1" customWidth="1"/>
    <col min="213" max="213" width="12.85546875" bestFit="1" customWidth="1"/>
    <col min="214" max="214" width="12.85546875" customWidth="1"/>
    <col min="215" max="215" width="26" bestFit="1" customWidth="1"/>
    <col min="216" max="216" width="17.28515625" bestFit="1" customWidth="1"/>
    <col min="217" max="217" width="33.28515625" bestFit="1" customWidth="1"/>
    <col min="218" max="218" width="12.85546875" customWidth="1"/>
    <col min="219" max="219" width="26" bestFit="1" customWidth="1"/>
    <col min="220" max="220" width="17.28515625" bestFit="1" customWidth="1"/>
    <col min="221" max="221" width="33.28515625" bestFit="1" customWidth="1"/>
    <col min="222" max="222" width="12.85546875" bestFit="1" customWidth="1"/>
    <col min="223" max="223" width="26" bestFit="1" customWidth="1"/>
    <col min="224" max="224" width="17.28515625" bestFit="1" customWidth="1"/>
    <col min="225" max="225" width="33.28515625" bestFit="1" customWidth="1"/>
    <col min="226" max="226" width="17.28515625" bestFit="1" customWidth="1"/>
    <col min="227" max="227" width="33.28515625" bestFit="1" customWidth="1"/>
    <col min="228" max="228" width="16.5703125" bestFit="1" customWidth="1"/>
    <col min="229" max="229" width="17" bestFit="1" customWidth="1"/>
    <col min="230" max="230" width="26.85546875" bestFit="1" customWidth="1"/>
    <col min="231" max="232" width="12.85546875" bestFit="1" customWidth="1"/>
    <col min="233" max="233" width="26" bestFit="1" customWidth="1"/>
    <col min="234" max="234" width="17.28515625" bestFit="1" customWidth="1"/>
    <col min="235" max="235" width="33.28515625" bestFit="1" customWidth="1"/>
    <col min="236" max="236" width="17.28515625" bestFit="1" customWidth="1"/>
    <col min="237" max="237" width="33.28515625" bestFit="1" customWidth="1"/>
    <col min="238" max="238" width="17.28515625" bestFit="1" customWidth="1"/>
    <col min="239" max="239" width="33.28515625" bestFit="1" customWidth="1"/>
    <col min="240" max="240" width="16.5703125" bestFit="1" customWidth="1"/>
    <col min="241" max="241" width="17" bestFit="1" customWidth="1"/>
    <col min="242" max="242" width="26.85546875" bestFit="1" customWidth="1"/>
    <col min="243" max="244" width="12.85546875" bestFit="1" customWidth="1"/>
    <col min="245" max="245" width="26" bestFit="1" customWidth="1"/>
    <col min="246" max="246" width="17.28515625" bestFit="1" customWidth="1"/>
    <col min="247" max="247" width="33.28515625" bestFit="1" customWidth="1"/>
    <col min="248" max="248" width="16.5703125" bestFit="1" customWidth="1"/>
    <col min="249" max="249" width="17" bestFit="1" customWidth="1"/>
    <col min="250" max="250" width="26.85546875" bestFit="1" customWidth="1"/>
    <col min="251" max="252" width="12.85546875" bestFit="1" customWidth="1"/>
    <col min="253" max="253" width="26" bestFit="1" customWidth="1"/>
    <col min="254" max="254" width="17.28515625" bestFit="1" customWidth="1"/>
    <col min="255" max="255" width="33.28515625" bestFit="1" customWidth="1"/>
    <col min="256" max="257" width="7" bestFit="1" customWidth="1"/>
    <col min="258" max="258" width="16.5703125" bestFit="1" customWidth="1"/>
    <col min="259" max="259" width="17" bestFit="1" customWidth="1"/>
    <col min="260" max="260" width="26.85546875" customWidth="1"/>
    <col min="261" max="262" width="12.85546875" bestFit="1" customWidth="1"/>
    <col min="263" max="263" width="26" bestFit="1" customWidth="1"/>
    <col min="264" max="264" width="17.28515625" bestFit="1" customWidth="1"/>
    <col min="265" max="265" width="33.28515625" bestFit="1" customWidth="1"/>
    <col min="266" max="267" width="12.85546875" customWidth="1"/>
    <col min="268" max="268" width="26" bestFit="1" customWidth="1"/>
    <col min="269" max="269" width="17.28515625" bestFit="1" customWidth="1"/>
    <col min="270" max="270" width="33.28515625" bestFit="1" customWidth="1"/>
    <col min="271" max="271" width="26" bestFit="1" customWidth="1"/>
    <col min="272" max="272" width="17.28515625" bestFit="1" customWidth="1"/>
    <col min="273" max="273" width="33.28515625" bestFit="1" customWidth="1"/>
    <col min="274" max="274" width="12.42578125" bestFit="1" customWidth="1"/>
    <col min="275" max="275" width="7" bestFit="1" customWidth="1"/>
    <col min="276" max="276" width="10.28515625" bestFit="1" customWidth="1"/>
    <col min="277" max="278" width="7" bestFit="1" customWidth="1"/>
    <col min="279" max="279" width="16.5703125" bestFit="1" customWidth="1"/>
    <col min="280" max="280" width="17" bestFit="1" customWidth="1"/>
    <col min="281" max="281" width="26.85546875" bestFit="1" customWidth="1"/>
    <col min="282" max="283" width="12.85546875" bestFit="1" customWidth="1"/>
    <col min="284" max="284" width="26" bestFit="1" customWidth="1"/>
    <col min="285" max="285" width="17.28515625" bestFit="1" customWidth="1"/>
    <col min="286" max="286" width="33.28515625" bestFit="1" customWidth="1"/>
    <col min="287" max="287" width="17.28515625" bestFit="1" customWidth="1"/>
    <col min="288" max="288" width="33.28515625" bestFit="1" customWidth="1"/>
    <col min="289" max="289" width="16.5703125" bestFit="1" customWidth="1"/>
    <col min="290" max="290" width="17" bestFit="1" customWidth="1"/>
    <col min="291" max="291" width="26.85546875" customWidth="1"/>
    <col min="292" max="293" width="12.85546875" bestFit="1" customWidth="1"/>
    <col min="294" max="294" width="26" bestFit="1" customWidth="1"/>
    <col min="295" max="295" width="17.28515625" bestFit="1" customWidth="1"/>
    <col min="296" max="296" width="33.28515625" bestFit="1" customWidth="1"/>
    <col min="297" max="298" width="12.85546875" bestFit="1" customWidth="1"/>
    <col min="299" max="299" width="26" bestFit="1" customWidth="1"/>
    <col min="300" max="300" width="17.28515625" bestFit="1" customWidth="1"/>
    <col min="301" max="301" width="33.28515625" bestFit="1" customWidth="1"/>
    <col min="302" max="302" width="26" bestFit="1" customWidth="1"/>
    <col min="303" max="303" width="17.28515625" bestFit="1" customWidth="1"/>
    <col min="304" max="304" width="33.28515625" bestFit="1" customWidth="1"/>
    <col min="305" max="306" width="12.85546875" customWidth="1"/>
    <col min="307" max="307" width="26" bestFit="1" customWidth="1"/>
    <col min="308" max="308" width="17.28515625" bestFit="1" customWidth="1"/>
    <col min="309" max="309" width="33.28515625" bestFit="1" customWidth="1"/>
    <col min="310" max="310" width="12.85546875" bestFit="1" customWidth="1"/>
    <col min="311" max="311" width="26" bestFit="1" customWidth="1"/>
    <col min="312" max="312" width="17.28515625" bestFit="1" customWidth="1"/>
    <col min="313" max="313" width="33.28515625" bestFit="1" customWidth="1"/>
    <col min="314" max="314" width="26.85546875" bestFit="1" customWidth="1"/>
    <col min="315" max="316" width="12.85546875" bestFit="1" customWidth="1"/>
    <col min="317" max="317" width="26" bestFit="1" customWidth="1"/>
    <col min="318" max="318" width="17.28515625" bestFit="1" customWidth="1"/>
    <col min="319" max="319" width="33.28515625" bestFit="1" customWidth="1"/>
    <col min="320" max="320" width="26.85546875" bestFit="1" customWidth="1"/>
    <col min="321" max="321" width="12.85546875" bestFit="1" customWidth="1"/>
    <col min="322" max="322" width="12.85546875" customWidth="1"/>
    <col min="323" max="323" width="26" bestFit="1" customWidth="1"/>
    <col min="324" max="324" width="17.28515625" bestFit="1" customWidth="1"/>
    <col min="325" max="325" width="33.28515625" customWidth="1"/>
    <col min="326" max="326" width="12.85546875" bestFit="1" customWidth="1"/>
    <col min="327" max="327" width="26" bestFit="1" customWidth="1"/>
    <col min="328" max="328" width="33.28515625" bestFit="1" customWidth="1"/>
    <col min="329" max="329" width="26" bestFit="1" customWidth="1"/>
    <col min="330" max="330" width="33.28515625" bestFit="1" customWidth="1"/>
    <col min="331" max="332" width="12.85546875" bestFit="1" customWidth="1"/>
    <col min="333" max="333" width="26" bestFit="1" customWidth="1"/>
    <col min="334" max="334" width="33.28515625" bestFit="1" customWidth="1"/>
    <col min="335" max="335" width="12.85546875" bestFit="1" customWidth="1"/>
    <col min="336" max="336" width="12.85546875" customWidth="1"/>
    <col min="337" max="337" width="26" bestFit="1" customWidth="1"/>
    <col min="338" max="338" width="33.28515625" bestFit="1" customWidth="1"/>
    <col min="339" max="339" width="12.85546875" bestFit="1" customWidth="1"/>
    <col min="340" max="340" width="26" bestFit="1" customWidth="1"/>
    <col min="341" max="341" width="33.28515625" bestFit="1" customWidth="1"/>
    <col min="342" max="342" width="26.85546875" bestFit="1" customWidth="1"/>
    <col min="343" max="343" width="12.85546875" bestFit="1" customWidth="1"/>
    <col min="344" max="344" width="12.85546875" customWidth="1"/>
    <col min="345" max="345" width="26" bestFit="1" customWidth="1"/>
    <col min="346" max="346" width="33.28515625" bestFit="1" customWidth="1"/>
    <col min="347" max="347" width="12.85546875" customWidth="1"/>
    <col min="348" max="348" width="26" bestFit="1" customWidth="1"/>
    <col min="349" max="349" width="33.28515625" bestFit="1" customWidth="1"/>
    <col min="350" max="350" width="12.85546875" customWidth="1"/>
    <col min="351" max="351" width="26" bestFit="1" customWidth="1"/>
    <col min="352" max="352" width="33.28515625" bestFit="1" customWidth="1"/>
    <col min="353" max="353" width="12.85546875" customWidth="1"/>
    <col min="354" max="354" width="26" bestFit="1" customWidth="1"/>
    <col min="355" max="355" width="33.28515625" bestFit="1" customWidth="1"/>
    <col min="356" max="356" width="12.85546875" bestFit="1" customWidth="1"/>
    <col min="357" max="357" width="26" bestFit="1" customWidth="1"/>
    <col min="358" max="358" width="33.28515625" bestFit="1" customWidth="1"/>
    <col min="359" max="360" width="12.85546875" bestFit="1" customWidth="1"/>
    <col min="361" max="361" width="26" bestFit="1" customWidth="1"/>
    <col min="362" max="362" width="33.28515625" bestFit="1" customWidth="1"/>
  </cols>
  <sheetData>
    <row r="1" spans="1:78" x14ac:dyDescent="0.25">
      <c r="A1" t="s">
        <v>0</v>
      </c>
      <c r="B1" t="s">
        <v>38</v>
      </c>
      <c r="C1" t="s">
        <v>46</v>
      </c>
      <c r="D1" t="s">
        <v>17</v>
      </c>
      <c r="E1" t="s">
        <v>42</v>
      </c>
      <c r="F1" t="s">
        <v>41</v>
      </c>
      <c r="G1" t="s">
        <v>124</v>
      </c>
      <c r="H1" t="s">
        <v>125</v>
      </c>
      <c r="I1" t="s">
        <v>126</v>
      </c>
      <c r="J1" t="s">
        <v>127</v>
      </c>
      <c r="K1" t="s">
        <v>418</v>
      </c>
      <c r="L1" t="s">
        <v>419</v>
      </c>
      <c r="M1" t="s">
        <v>420</v>
      </c>
      <c r="N1" t="s">
        <v>421</v>
      </c>
      <c r="O1" t="s">
        <v>366</v>
      </c>
      <c r="P1" t="s">
        <v>367</v>
      </c>
      <c r="Q1" t="s">
        <v>128</v>
      </c>
      <c r="R1" t="s">
        <v>129</v>
      </c>
      <c r="S1" t="s">
        <v>163</v>
      </c>
      <c r="T1" t="s">
        <v>164</v>
      </c>
      <c r="U1" t="s">
        <v>65</v>
      </c>
      <c r="V1" t="s">
        <v>44</v>
      </c>
      <c r="W1" t="s">
        <v>130</v>
      </c>
      <c r="X1" t="s">
        <v>131</v>
      </c>
      <c r="Y1" t="s">
        <v>165</v>
      </c>
      <c r="Z1" t="s">
        <v>166</v>
      </c>
      <c r="AA1" t="s">
        <v>422</v>
      </c>
      <c r="AB1" t="s">
        <v>423</v>
      </c>
      <c r="AC1" t="s">
        <v>88</v>
      </c>
      <c r="AD1" t="s">
        <v>89</v>
      </c>
      <c r="AE1" t="s">
        <v>240</v>
      </c>
      <c r="AF1" t="s">
        <v>241</v>
      </c>
      <c r="AG1" t="s">
        <v>242</v>
      </c>
      <c r="AH1" t="s">
        <v>243</v>
      </c>
      <c r="AI1" t="s">
        <v>39</v>
      </c>
      <c r="AJ1" t="s">
        <v>262</v>
      </c>
      <c r="AK1" t="s">
        <v>263</v>
      </c>
      <c r="AL1" t="s">
        <v>299</v>
      </c>
      <c r="AM1" t="s">
        <v>300</v>
      </c>
      <c r="AN1" t="s">
        <v>171</v>
      </c>
      <c r="AO1" t="s">
        <v>244</v>
      </c>
      <c r="AP1" t="s">
        <v>270</v>
      </c>
      <c r="AQ1" t="s">
        <v>40</v>
      </c>
      <c r="AR1" t="s">
        <v>47</v>
      </c>
      <c r="AS1" t="s">
        <v>63</v>
      </c>
      <c r="AT1" t="s">
        <v>117</v>
      </c>
      <c r="AU1" t="s">
        <v>118</v>
      </c>
      <c r="AV1" t="s">
        <v>48</v>
      </c>
      <c r="AW1" t="s">
        <v>49</v>
      </c>
      <c r="AX1" t="s">
        <v>119</v>
      </c>
      <c r="AY1" t="s">
        <v>120</v>
      </c>
      <c r="AZ1" t="s">
        <v>301</v>
      </c>
      <c r="BA1" t="s">
        <v>302</v>
      </c>
      <c r="BB1" t="s">
        <v>558</v>
      </c>
      <c r="BC1" t="s">
        <v>232</v>
      </c>
      <c r="BD1" t="s">
        <v>319</v>
      </c>
      <c r="BE1" t="s">
        <v>400</v>
      </c>
      <c r="BF1" t="s">
        <v>401</v>
      </c>
      <c r="BG1" t="s">
        <v>50</v>
      </c>
      <c r="BH1" t="s">
        <v>51</v>
      </c>
      <c r="BI1" t="s">
        <v>52</v>
      </c>
      <c r="BJ1" t="s">
        <v>53</v>
      </c>
      <c r="BK1" t="s">
        <v>54</v>
      </c>
      <c r="BL1" t="s">
        <v>61</v>
      </c>
      <c r="BM1" t="s">
        <v>62</v>
      </c>
      <c r="BN1" t="s">
        <v>18</v>
      </c>
      <c r="BO1" t="s">
        <v>21</v>
      </c>
      <c r="BP1" t="s">
        <v>19</v>
      </c>
      <c r="BQ1" t="s">
        <v>20</v>
      </c>
      <c r="BR1" t="s">
        <v>22</v>
      </c>
      <c r="BS1" t="s">
        <v>69</v>
      </c>
      <c r="BT1" t="s">
        <v>231</v>
      </c>
      <c r="BU1" t="s">
        <v>13</v>
      </c>
      <c r="BV1" t="s">
        <v>23</v>
      </c>
      <c r="BW1" t="s">
        <v>24</v>
      </c>
      <c r="BX1" t="s">
        <v>25</v>
      </c>
      <c r="BY1" t="s">
        <v>100</v>
      </c>
      <c r="BZ1" t="s">
        <v>14</v>
      </c>
    </row>
    <row r="2" spans="1:78" x14ac:dyDescent="0.25">
      <c r="B2" s="2"/>
    </row>
    <row r="3" spans="1:78" x14ac:dyDescent="0.25">
      <c r="B3" s="2"/>
      <c r="F3">
        <f>SUBTOTAL(109,RTF_Invoice[Amount])</f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CF927-9286-41B2-9CAD-FB3556BC9DF4}">
  <sheetPr codeName="Sheet15">
    <tabColor rgb="FFFF0000"/>
  </sheetPr>
  <dimension ref="A1:CC100"/>
  <sheetViews>
    <sheetView workbookViewId="0">
      <selection sqref="A1:CC100"/>
    </sheetView>
  </sheetViews>
  <sheetFormatPr defaultRowHeight="15" x14ac:dyDescent="0.25"/>
  <cols>
    <col min="1" max="1" width="20.140625" bestFit="1" customWidth="1"/>
    <col min="2" max="2" width="10.85546875" bestFit="1" customWidth="1"/>
    <col min="3" max="3" width="69.42578125" bestFit="1" customWidth="1"/>
    <col min="4" max="4" width="7.140625" bestFit="1" customWidth="1"/>
    <col min="5" max="5" width="8.7109375" style="1" bestFit="1" customWidth="1"/>
    <col min="6" max="6" width="11.85546875" style="1" bestFit="1" customWidth="1"/>
    <col min="7" max="7" width="10.7109375" bestFit="1" customWidth="1"/>
    <col min="8" max="8" width="21.7109375" bestFit="1" customWidth="1"/>
    <col min="9" max="9" width="8.5703125" bestFit="1" customWidth="1"/>
    <col min="10" max="10" width="9.5703125" bestFit="1" customWidth="1"/>
    <col min="11" max="11" width="21.42578125" bestFit="1" customWidth="1"/>
    <col min="12" max="12" width="19.140625" bestFit="1" customWidth="1"/>
    <col min="13" max="13" width="20" bestFit="1" customWidth="1"/>
    <col min="14" max="14" width="17.7109375" bestFit="1" customWidth="1"/>
    <col min="15" max="15" width="20.42578125" bestFit="1" customWidth="1"/>
    <col min="16" max="16" width="18.140625" bestFit="1" customWidth="1"/>
    <col min="17" max="17" width="28" bestFit="1" customWidth="1"/>
    <col min="18" max="18" width="25.7109375" bestFit="1" customWidth="1"/>
    <col min="19" max="19" width="18" bestFit="1" customWidth="1"/>
    <col min="20" max="20" width="15.85546875" bestFit="1" customWidth="1"/>
    <col min="21" max="21" width="17" bestFit="1" customWidth="1"/>
    <col min="22" max="22" width="14.7109375" bestFit="1" customWidth="1"/>
    <col min="23" max="23" width="23" bestFit="1" customWidth="1"/>
    <col min="24" max="24" width="20.85546875" bestFit="1" customWidth="1"/>
    <col min="25" max="25" width="20.7109375" bestFit="1" customWidth="1"/>
    <col min="26" max="26" width="13.140625" bestFit="1" customWidth="1"/>
    <col min="27" max="27" width="20" bestFit="1" customWidth="1"/>
    <col min="28" max="28" width="17.7109375" bestFit="1" customWidth="1"/>
    <col min="29" max="29" width="20.42578125" bestFit="1" customWidth="1"/>
    <col min="30" max="30" width="18.140625" bestFit="1" customWidth="1"/>
    <col min="31" max="31" width="20.7109375" bestFit="1" customWidth="1"/>
    <col min="32" max="32" width="18.42578125" bestFit="1" customWidth="1"/>
    <col min="33" max="33" width="42.28515625" bestFit="1" customWidth="1"/>
    <col min="34" max="34" width="40" bestFit="1" customWidth="1"/>
    <col min="35" max="35" width="32.85546875" bestFit="1" customWidth="1"/>
    <col min="36" max="36" width="29.140625" bestFit="1" customWidth="1"/>
    <col min="37" max="37" width="32" bestFit="1" customWidth="1"/>
    <col min="38" max="38" width="27.28515625" bestFit="1" customWidth="1"/>
    <col min="39" max="39" width="13.140625" bestFit="1" customWidth="1"/>
    <col min="40" max="40" width="18.28515625" bestFit="1" customWidth="1"/>
    <col min="41" max="41" width="32.7109375" bestFit="1" customWidth="1"/>
    <col min="42" max="42" width="28.140625" bestFit="1" customWidth="1"/>
    <col min="43" max="43" width="40" bestFit="1" customWidth="1"/>
    <col min="44" max="44" width="36.42578125" bestFit="1" customWidth="1"/>
    <col min="45" max="45" width="33.140625" bestFit="1" customWidth="1"/>
    <col min="46" max="46" width="15.42578125" bestFit="1" customWidth="1"/>
    <col min="47" max="47" width="13.140625" bestFit="1" customWidth="1"/>
    <col min="48" max="48" width="16" bestFit="1" customWidth="1"/>
    <col min="49" max="49" width="8.28515625" bestFit="1" customWidth="1"/>
    <col min="50" max="50" width="17.28515625" bestFit="1" customWidth="1"/>
    <col min="51" max="51" width="7.5703125" bestFit="1" customWidth="1"/>
    <col min="52" max="52" width="17.5703125" bestFit="1" customWidth="1"/>
    <col min="53" max="53" width="11.140625" bestFit="1" customWidth="1"/>
    <col min="54" max="54" width="26.42578125" bestFit="1" customWidth="1"/>
    <col min="55" max="55" width="21" bestFit="1" customWidth="1"/>
    <col min="56" max="56" width="34.42578125" bestFit="1" customWidth="1"/>
    <col min="57" max="57" width="27.42578125" bestFit="1" customWidth="1"/>
    <col min="58" max="58" width="27.140625" bestFit="1" customWidth="1"/>
    <col min="59" max="59" width="24.140625" bestFit="1" customWidth="1"/>
    <col min="60" max="63" width="5.28515625" bestFit="1" customWidth="1"/>
    <col min="64" max="64" width="24.28515625" bestFit="1" customWidth="1"/>
    <col min="65" max="65" width="31" bestFit="1" customWidth="1"/>
    <col min="66" max="66" width="11.85546875" bestFit="1" customWidth="1"/>
    <col min="67" max="67" width="11.140625" bestFit="1" customWidth="1"/>
    <col min="68" max="68" width="11.5703125" bestFit="1" customWidth="1"/>
    <col min="69" max="69" width="7" bestFit="1" customWidth="1"/>
    <col min="70" max="70" width="10.28515625" bestFit="1" customWidth="1"/>
    <col min="71" max="71" width="7" bestFit="1" customWidth="1"/>
    <col min="72" max="72" width="7" customWidth="1"/>
    <col min="73" max="73" width="16.5703125" bestFit="1" customWidth="1"/>
    <col min="74" max="74" width="26.85546875" bestFit="1" customWidth="1"/>
    <col min="75" max="75" width="12.85546875" bestFit="1" customWidth="1"/>
    <col min="76" max="76" width="17" bestFit="1" customWidth="1"/>
    <col min="77" max="77" width="30.85546875" bestFit="1" customWidth="1"/>
    <col min="78" max="78" width="12.85546875" bestFit="1" customWidth="1"/>
    <col min="79" max="79" width="26" bestFit="1" customWidth="1"/>
    <col min="80" max="80" width="33.28515625" bestFit="1" customWidth="1"/>
    <col min="81" max="82" width="14.7109375" bestFit="1" customWidth="1"/>
    <col min="83" max="83" width="12.85546875" bestFit="1" customWidth="1"/>
    <col min="84" max="84" width="17" bestFit="1" customWidth="1"/>
    <col min="85" max="85" width="30.85546875" bestFit="1" customWidth="1"/>
    <col min="86" max="86" width="12.85546875" bestFit="1" customWidth="1"/>
    <col min="87" max="87" width="26" bestFit="1" customWidth="1"/>
    <col min="88" max="88" width="33.28515625" bestFit="1" customWidth="1"/>
    <col min="89" max="89" width="14.7109375" bestFit="1" customWidth="1"/>
    <col min="90" max="90" width="17" bestFit="1" customWidth="1"/>
    <col min="91" max="91" width="30.85546875" bestFit="1" customWidth="1"/>
    <col min="92" max="92" width="12.85546875" bestFit="1" customWidth="1"/>
    <col min="93" max="93" width="26" bestFit="1" customWidth="1"/>
    <col min="94" max="94" width="33.28515625" bestFit="1" customWidth="1"/>
    <col min="95" max="95" width="14.7109375" bestFit="1" customWidth="1"/>
    <col min="96" max="96" width="26" bestFit="1" customWidth="1"/>
    <col min="97" max="97" width="33.28515625" bestFit="1" customWidth="1"/>
    <col min="98" max="98" width="14.7109375" bestFit="1" customWidth="1"/>
    <col min="99" max="99" width="12.85546875" customWidth="1"/>
    <col min="100" max="100" width="26" bestFit="1" customWidth="1"/>
    <col min="101" max="101" width="33.28515625" bestFit="1" customWidth="1"/>
    <col min="102" max="102" width="14.7109375" bestFit="1" customWidth="1"/>
    <col min="103" max="103" width="30.85546875" bestFit="1" customWidth="1"/>
    <col min="104" max="104" width="12.85546875" bestFit="1" customWidth="1"/>
    <col min="105" max="105" width="26" bestFit="1" customWidth="1"/>
    <col min="106" max="106" width="33.28515625" bestFit="1" customWidth="1"/>
    <col min="107" max="107" width="14.7109375" bestFit="1" customWidth="1"/>
    <col min="108" max="108" width="26" bestFit="1" customWidth="1"/>
    <col min="109" max="109" width="33.28515625" bestFit="1" customWidth="1"/>
    <col min="110" max="110" width="14.7109375" bestFit="1" customWidth="1"/>
    <col min="111" max="111" width="12.85546875" bestFit="1" customWidth="1"/>
    <col min="112" max="112" width="26" bestFit="1" customWidth="1"/>
    <col min="113" max="113" width="33.28515625" bestFit="1" customWidth="1"/>
    <col min="114" max="114" width="14.7109375" customWidth="1"/>
    <col min="115" max="115" width="12.85546875" bestFit="1" customWidth="1"/>
    <col min="116" max="116" width="17" bestFit="1" customWidth="1"/>
    <col min="117" max="117" width="30.85546875" bestFit="1" customWidth="1"/>
    <col min="118" max="118" width="12.85546875" bestFit="1" customWidth="1"/>
    <col min="119" max="119" width="26" bestFit="1" customWidth="1"/>
    <col min="120" max="120" width="33.28515625" bestFit="1" customWidth="1"/>
    <col min="121" max="121" width="14.7109375" bestFit="1" customWidth="1"/>
    <col min="122" max="122" width="30.85546875" bestFit="1" customWidth="1"/>
    <col min="123" max="123" width="12.85546875" customWidth="1"/>
    <col min="124" max="124" width="26" bestFit="1" customWidth="1"/>
    <col min="125" max="125" width="33.28515625" bestFit="1" customWidth="1"/>
    <col min="126" max="126" width="14.7109375" bestFit="1" customWidth="1"/>
    <col min="127" max="127" width="33.28515625" bestFit="1" customWidth="1"/>
    <col min="128" max="128" width="14.7109375" bestFit="1" customWidth="1"/>
    <col min="129" max="129" width="17" bestFit="1" customWidth="1"/>
    <col min="130" max="130" width="30.85546875" bestFit="1" customWidth="1"/>
    <col min="131" max="131" width="12.85546875" bestFit="1" customWidth="1"/>
    <col min="132" max="132" width="26" bestFit="1" customWidth="1"/>
    <col min="133" max="133" width="33.28515625" bestFit="1" customWidth="1"/>
    <col min="134" max="134" width="14.7109375" bestFit="1" customWidth="1"/>
    <col min="135" max="135" width="26" bestFit="1" customWidth="1"/>
    <col min="136" max="136" width="33.28515625" bestFit="1" customWidth="1"/>
    <col min="137" max="137" width="14.7109375" bestFit="1" customWidth="1"/>
    <col min="138" max="138" width="12.85546875" customWidth="1"/>
    <col min="139" max="139" width="26" bestFit="1" customWidth="1"/>
    <col min="140" max="140" width="33.28515625" bestFit="1" customWidth="1"/>
    <col min="141" max="141" width="14.7109375" bestFit="1" customWidth="1"/>
    <col min="142" max="142" width="33.28515625" bestFit="1" customWidth="1"/>
    <col min="143" max="143" width="14.7109375" bestFit="1" customWidth="1"/>
    <col min="144" max="144" width="17" bestFit="1" customWidth="1"/>
    <col min="145" max="145" width="30.85546875" bestFit="1" customWidth="1"/>
    <col min="146" max="146" width="12.85546875" bestFit="1" customWidth="1"/>
    <col min="147" max="147" width="26" bestFit="1" customWidth="1"/>
    <col min="148" max="148" width="33.28515625" bestFit="1" customWidth="1"/>
    <col min="149" max="149" width="14.7109375" bestFit="1" customWidth="1"/>
    <col min="150" max="150" width="26.85546875" bestFit="1" customWidth="1"/>
    <col min="151" max="151" width="12.85546875" bestFit="1" customWidth="1"/>
    <col min="152" max="152" width="17" bestFit="1" customWidth="1"/>
    <col min="153" max="153" width="30.85546875" bestFit="1" customWidth="1"/>
    <col min="154" max="154" width="12.85546875" customWidth="1"/>
    <col min="155" max="155" width="26" bestFit="1" customWidth="1"/>
    <col min="156" max="156" width="33.28515625" bestFit="1" customWidth="1"/>
    <col min="157" max="157" width="14.7109375" bestFit="1" customWidth="1"/>
    <col min="158" max="158" width="17" bestFit="1" customWidth="1"/>
    <col min="159" max="159" width="30.85546875" bestFit="1" customWidth="1"/>
    <col min="160" max="160" width="12.85546875" bestFit="1" customWidth="1"/>
    <col min="161" max="161" width="26" bestFit="1" customWidth="1"/>
    <col min="162" max="162" width="33.28515625" bestFit="1" customWidth="1"/>
    <col min="163" max="163" width="14.7109375" bestFit="1" customWidth="1"/>
    <col min="164" max="164" width="16.42578125" bestFit="1" customWidth="1"/>
    <col min="165" max="165" width="29.5703125" bestFit="1" customWidth="1"/>
    <col min="166" max="166" width="12.42578125" bestFit="1" customWidth="1"/>
    <col min="167" max="167" width="24.85546875" bestFit="1" customWidth="1"/>
    <col min="168" max="168" width="31.85546875" bestFit="1" customWidth="1"/>
    <col min="169" max="169" width="14.140625" bestFit="1" customWidth="1"/>
    <col min="170" max="170" width="6.85546875" bestFit="1" customWidth="1"/>
    <col min="171" max="171" width="15.85546875" bestFit="1" customWidth="1"/>
    <col min="172" max="172" width="25.7109375" bestFit="1" customWidth="1"/>
    <col min="173" max="173" width="12.42578125" bestFit="1" customWidth="1"/>
    <col min="174" max="174" width="16.42578125" bestFit="1" customWidth="1"/>
    <col min="175" max="175" width="29.5703125" bestFit="1" customWidth="1"/>
    <col min="176" max="176" width="12.42578125" bestFit="1" customWidth="1"/>
    <col min="177" max="177" width="24.85546875" bestFit="1" customWidth="1"/>
    <col min="178" max="178" width="31.85546875" bestFit="1" customWidth="1"/>
    <col min="179" max="179" width="14.140625" bestFit="1" customWidth="1"/>
    <col min="180" max="180" width="12.85546875" bestFit="1" customWidth="1"/>
    <col min="181" max="181" width="26" bestFit="1" customWidth="1"/>
    <col min="182" max="182" width="33.28515625" bestFit="1" customWidth="1"/>
    <col min="183" max="183" width="14.7109375" bestFit="1" customWidth="1"/>
    <col min="184" max="184" width="12.85546875" bestFit="1" customWidth="1"/>
    <col min="185" max="185" width="17" bestFit="1" customWidth="1"/>
    <col min="186" max="186" width="12.85546875" bestFit="1" customWidth="1"/>
    <col min="187" max="187" width="26" bestFit="1" customWidth="1"/>
    <col min="188" max="188" width="33.28515625" bestFit="1" customWidth="1"/>
    <col min="189" max="189" width="14.7109375" bestFit="1" customWidth="1"/>
    <col min="190" max="190" width="12.85546875" bestFit="1" customWidth="1"/>
    <col min="191" max="191" width="26" bestFit="1" customWidth="1"/>
    <col min="192" max="192" width="33.28515625" bestFit="1" customWidth="1"/>
    <col min="193" max="193" width="14.7109375" bestFit="1" customWidth="1"/>
    <col min="194" max="194" width="16.5703125" bestFit="1" customWidth="1"/>
    <col min="195" max="195" width="26.85546875" bestFit="1" customWidth="1"/>
    <col min="196" max="196" width="12.85546875" bestFit="1" customWidth="1"/>
    <col min="197" max="197" width="17" bestFit="1" customWidth="1"/>
    <col min="198" max="198" width="12.85546875" customWidth="1"/>
    <col min="199" max="199" width="26" bestFit="1" customWidth="1"/>
    <col min="200" max="200" width="33.28515625" bestFit="1" customWidth="1"/>
    <col min="201" max="201" width="14.7109375" bestFit="1" customWidth="1"/>
    <col min="202" max="202" width="17" bestFit="1" customWidth="1"/>
    <col min="203" max="203" width="12.85546875" bestFit="1" customWidth="1"/>
    <col min="204" max="204" width="26" bestFit="1" customWidth="1"/>
    <col min="205" max="205" width="33.28515625" bestFit="1" customWidth="1"/>
    <col min="206" max="206" width="14.7109375" bestFit="1" customWidth="1"/>
    <col min="207" max="207" width="12.85546875" bestFit="1" customWidth="1"/>
    <col min="208" max="208" width="17" bestFit="1" customWidth="1"/>
    <col min="209" max="209" width="12.85546875" bestFit="1" customWidth="1"/>
    <col min="210" max="210" width="26" bestFit="1" customWidth="1"/>
    <col min="211" max="211" width="33.28515625" bestFit="1" customWidth="1"/>
    <col min="212" max="212" width="14.7109375" bestFit="1" customWidth="1"/>
    <col min="213" max="213" width="16.5703125" bestFit="1" customWidth="1"/>
    <col min="214" max="214" width="26.85546875" bestFit="1" customWidth="1"/>
    <col min="215" max="215" width="12.85546875" bestFit="1" customWidth="1"/>
    <col min="216" max="216" width="17" bestFit="1" customWidth="1"/>
    <col min="217" max="217" width="12.85546875" bestFit="1" customWidth="1"/>
    <col min="218" max="218" width="26" bestFit="1" customWidth="1"/>
    <col min="219" max="219" width="33.28515625" bestFit="1" customWidth="1"/>
    <col min="220" max="220" width="14.7109375" bestFit="1" customWidth="1"/>
    <col min="221" max="221" width="12.85546875" bestFit="1" customWidth="1"/>
    <col min="222" max="222" width="26" bestFit="1" customWidth="1"/>
    <col min="223" max="223" width="33.28515625" bestFit="1" customWidth="1"/>
    <col min="224" max="224" width="14.7109375" bestFit="1" customWidth="1"/>
    <col min="225" max="225" width="12.85546875" bestFit="1" customWidth="1"/>
    <col min="226" max="226" width="26" bestFit="1" customWidth="1"/>
    <col min="227" max="227" width="33.28515625" bestFit="1" customWidth="1"/>
    <col min="228" max="228" width="14.7109375" bestFit="1" customWidth="1"/>
    <col min="229" max="229" width="33.28515625" bestFit="1" customWidth="1"/>
    <col min="230" max="230" width="14.7109375" bestFit="1" customWidth="1"/>
    <col min="231" max="231" width="16.5703125" bestFit="1" customWidth="1"/>
    <col min="232" max="232" width="26.85546875" bestFit="1" customWidth="1"/>
    <col min="233" max="233" width="12.85546875" bestFit="1" customWidth="1"/>
    <col min="234" max="234" width="17" bestFit="1" customWidth="1"/>
    <col min="235" max="235" width="12.85546875" bestFit="1" customWidth="1"/>
    <col min="236" max="236" width="26" bestFit="1" customWidth="1"/>
    <col min="237" max="237" width="33.28515625" bestFit="1" customWidth="1"/>
    <col min="238" max="238" width="14.7109375" bestFit="1" customWidth="1"/>
    <col min="239" max="239" width="33.28515625" bestFit="1" customWidth="1"/>
    <col min="240" max="240" width="14.7109375" bestFit="1" customWidth="1"/>
    <col min="241" max="241" width="33.28515625" bestFit="1" customWidth="1"/>
    <col min="242" max="242" width="14.7109375" bestFit="1" customWidth="1"/>
    <col min="243" max="243" width="16.5703125" bestFit="1" customWidth="1"/>
    <col min="244" max="244" width="26.85546875" bestFit="1" customWidth="1"/>
    <col min="245" max="245" width="12.85546875" bestFit="1" customWidth="1"/>
    <col min="246" max="246" width="17" bestFit="1" customWidth="1"/>
    <col min="247" max="247" width="12.85546875" bestFit="1" customWidth="1"/>
    <col min="248" max="248" width="26" bestFit="1" customWidth="1"/>
    <col min="249" max="249" width="33.28515625" bestFit="1" customWidth="1"/>
    <col min="250" max="250" width="14.7109375" bestFit="1" customWidth="1"/>
    <col min="251" max="251" width="16.5703125" bestFit="1" customWidth="1"/>
    <col min="252" max="252" width="26.85546875" bestFit="1" customWidth="1"/>
    <col min="253" max="253" width="12.85546875" bestFit="1" customWidth="1"/>
    <col min="254" max="254" width="17" bestFit="1" customWidth="1"/>
    <col min="255" max="255" width="12.85546875" bestFit="1" customWidth="1"/>
    <col min="256" max="256" width="26" bestFit="1" customWidth="1"/>
    <col min="257" max="257" width="33.28515625" bestFit="1" customWidth="1"/>
    <col min="258" max="258" width="14.7109375" bestFit="1" customWidth="1"/>
    <col min="259" max="260" width="7" bestFit="1" customWidth="1"/>
    <col min="261" max="261" width="16.5703125" bestFit="1" customWidth="1"/>
    <col min="262" max="262" width="26.85546875" bestFit="1" customWidth="1"/>
    <col min="263" max="263" width="12.85546875" customWidth="1"/>
    <col min="264" max="264" width="17" bestFit="1" customWidth="1"/>
    <col min="265" max="265" width="12.85546875" customWidth="1"/>
    <col min="266" max="266" width="26" bestFit="1" customWidth="1"/>
    <col min="267" max="267" width="33.28515625" bestFit="1" customWidth="1"/>
    <col min="268" max="268" width="14.7109375" bestFit="1" customWidth="1"/>
    <col min="269" max="269" width="17" bestFit="1" customWidth="1"/>
    <col min="270" max="270" width="12.85546875" customWidth="1"/>
    <col min="271" max="271" width="26" bestFit="1" customWidth="1"/>
    <col min="272" max="272" width="33.28515625" bestFit="1" customWidth="1"/>
    <col min="273" max="273" width="14.7109375" bestFit="1" customWidth="1"/>
    <col min="274" max="274" width="26" bestFit="1" customWidth="1"/>
    <col min="275" max="275" width="33.28515625" bestFit="1" customWidth="1"/>
    <col min="276" max="276" width="14.7109375" bestFit="1" customWidth="1"/>
    <col min="277" max="277" width="11.5703125" bestFit="1" customWidth="1"/>
    <col min="278" max="278" width="5.7109375" bestFit="1" customWidth="1"/>
    <col min="279" max="279" width="10.28515625" bestFit="1" customWidth="1"/>
    <col min="280" max="281" width="5.7109375" bestFit="1" customWidth="1"/>
    <col min="282" max="282" width="16.5703125" bestFit="1" customWidth="1"/>
    <col min="283" max="283" width="26.85546875" bestFit="1" customWidth="1"/>
    <col min="284" max="284" width="12.85546875" bestFit="1" customWidth="1"/>
    <col min="285" max="285" width="17" bestFit="1" customWidth="1"/>
    <col min="286" max="286" width="12.85546875" bestFit="1" customWidth="1"/>
    <col min="287" max="287" width="26" bestFit="1" customWidth="1"/>
    <col min="288" max="288" width="33.28515625" bestFit="1" customWidth="1"/>
    <col min="289" max="289" width="14.7109375" bestFit="1" customWidth="1"/>
    <col min="290" max="290" width="33.28515625" bestFit="1" customWidth="1"/>
    <col min="291" max="291" width="14.7109375" bestFit="1" customWidth="1"/>
    <col min="292" max="292" width="16.5703125" bestFit="1" customWidth="1"/>
    <col min="293" max="293" width="26.85546875" bestFit="1" customWidth="1"/>
    <col min="294" max="294" width="12.85546875" customWidth="1"/>
    <col min="295" max="295" width="17" bestFit="1" customWidth="1"/>
    <col min="296" max="296" width="12.85546875" customWidth="1"/>
    <col min="297" max="297" width="26" bestFit="1" customWidth="1"/>
    <col min="298" max="298" width="33.28515625" bestFit="1" customWidth="1"/>
    <col min="299" max="299" width="14.7109375" bestFit="1" customWidth="1"/>
    <col min="300" max="300" width="17" bestFit="1" customWidth="1"/>
    <col min="301" max="301" width="12.85546875" customWidth="1"/>
    <col min="302" max="302" width="26" bestFit="1" customWidth="1"/>
    <col min="303" max="303" width="33.28515625" bestFit="1" customWidth="1"/>
    <col min="304" max="304" width="14.7109375" bestFit="1" customWidth="1"/>
    <col min="305" max="305" width="26" bestFit="1" customWidth="1"/>
    <col min="306" max="306" width="33.28515625" bestFit="1" customWidth="1"/>
    <col min="307" max="307" width="14.7109375" bestFit="1" customWidth="1"/>
    <col min="308" max="308" width="17" customWidth="1"/>
    <col min="309" max="309" width="12.85546875" bestFit="1" customWidth="1"/>
    <col min="310" max="310" width="26" bestFit="1" customWidth="1"/>
    <col min="311" max="311" width="33.28515625" bestFit="1" customWidth="1"/>
    <col min="312" max="312" width="14.7109375" bestFit="1" customWidth="1"/>
    <col min="313" max="313" width="12.85546875" bestFit="1" customWidth="1"/>
    <col min="314" max="314" width="26" bestFit="1" customWidth="1"/>
    <col min="315" max="315" width="33.28515625" bestFit="1" customWidth="1"/>
    <col min="316" max="316" width="14.7109375" bestFit="1" customWidth="1"/>
    <col min="317" max="317" width="12.85546875" bestFit="1" customWidth="1"/>
    <col min="318" max="318" width="17" bestFit="1" customWidth="1"/>
    <col min="319" max="319" width="12.85546875" bestFit="1" customWidth="1"/>
    <col min="320" max="320" width="26" bestFit="1" customWidth="1"/>
    <col min="321" max="321" width="33.28515625" bestFit="1" customWidth="1"/>
    <col min="322" max="322" width="14.7109375" bestFit="1" customWidth="1"/>
    <col min="323" max="323" width="12.85546875" bestFit="1" customWidth="1"/>
    <col min="324" max="324" width="17" bestFit="1" customWidth="1"/>
    <col min="325" max="325" width="12.85546875" bestFit="1" customWidth="1"/>
    <col min="326" max="326" width="26" bestFit="1" customWidth="1"/>
    <col min="327" max="327" width="33.28515625" bestFit="1" customWidth="1"/>
    <col min="328" max="328" width="14.7109375" bestFit="1" customWidth="1"/>
    <col min="329" max="329" width="26" bestFit="1" customWidth="1"/>
    <col min="330" max="330" width="33.28515625" bestFit="1" customWidth="1"/>
    <col min="331" max="331" width="14.7109375" bestFit="1" customWidth="1"/>
    <col min="332" max="332" width="33.28515625" bestFit="1" customWidth="1"/>
    <col min="333" max="333" width="14.7109375" bestFit="1" customWidth="1"/>
    <col min="334" max="334" width="12.85546875" bestFit="1" customWidth="1"/>
    <col min="335" max="335" width="26" bestFit="1" customWidth="1"/>
    <col min="336" max="336" width="33.28515625" bestFit="1" customWidth="1"/>
    <col min="337" max="337" width="14.7109375" bestFit="1" customWidth="1"/>
    <col min="338" max="338" width="12.85546875" customWidth="1"/>
    <col min="339" max="339" width="26" bestFit="1" customWidth="1"/>
    <col min="340" max="340" width="33.28515625" bestFit="1" customWidth="1"/>
    <col min="341" max="341" width="14.7109375" bestFit="1" customWidth="1"/>
    <col min="342" max="342" width="26" bestFit="1" customWidth="1"/>
    <col min="343" max="343" width="33.28515625" bestFit="1" customWidth="1"/>
    <col min="344" max="344" width="14.7109375" bestFit="1" customWidth="1"/>
    <col min="345" max="345" width="17" bestFit="1" customWidth="1"/>
    <col min="346" max="346" width="12.85546875" bestFit="1" customWidth="1"/>
    <col min="347" max="347" width="26" bestFit="1" customWidth="1"/>
    <col min="348" max="348" width="33.28515625" bestFit="1" customWidth="1"/>
    <col min="349" max="349" width="14.7109375" bestFit="1" customWidth="1"/>
    <col min="350" max="350" width="26" bestFit="1" customWidth="1"/>
    <col min="351" max="351" width="33.28515625" bestFit="1" customWidth="1"/>
    <col min="352" max="352" width="14.7109375" bestFit="1" customWidth="1"/>
    <col min="353" max="353" width="26" bestFit="1" customWidth="1"/>
    <col min="354" max="354" width="33.28515625" bestFit="1" customWidth="1"/>
    <col min="355" max="355" width="14.7109375" bestFit="1" customWidth="1"/>
    <col min="356" max="356" width="26" bestFit="1" customWidth="1"/>
    <col min="357" max="357" width="33.28515625" bestFit="1" customWidth="1"/>
    <col min="358" max="358" width="14.7109375" bestFit="1" customWidth="1"/>
    <col min="359" max="359" width="26" bestFit="1" customWidth="1"/>
    <col min="360" max="360" width="33.28515625" bestFit="1" customWidth="1"/>
    <col min="361" max="361" width="14.7109375" bestFit="1" customWidth="1"/>
    <col min="362" max="362" width="12.85546875" customWidth="1"/>
    <col min="363" max="363" width="26" bestFit="1" customWidth="1"/>
    <col min="364" max="364" width="33.28515625" bestFit="1" customWidth="1"/>
    <col min="365" max="365" width="14.7109375" bestFit="1" customWidth="1"/>
    <col min="366" max="366" width="26" bestFit="1" customWidth="1"/>
    <col min="367" max="367" width="33.28515625" bestFit="1" customWidth="1"/>
    <col min="368" max="368" width="14.7109375" bestFit="1" customWidth="1"/>
    <col min="369" max="369" width="26" bestFit="1" customWidth="1"/>
    <col min="370" max="370" width="33.28515625" bestFit="1" customWidth="1"/>
    <col min="371" max="371" width="14.7109375" bestFit="1" customWidth="1"/>
    <col min="372" max="372" width="17" bestFit="1" customWidth="1"/>
    <col min="373" max="373" width="12.85546875" bestFit="1" customWidth="1"/>
    <col min="374" max="374" width="26" bestFit="1" customWidth="1"/>
    <col min="375" max="375" width="33.28515625" bestFit="1" customWidth="1"/>
    <col min="376" max="376" width="14.7109375" bestFit="1" customWidth="1"/>
    <col min="377" max="377" width="12.85546875" bestFit="1" customWidth="1"/>
    <col min="378" max="378" width="26" bestFit="1" customWidth="1"/>
    <col min="379" max="379" width="33.28515625" bestFit="1" customWidth="1"/>
    <col min="380" max="380" width="14.7109375" bestFit="1" customWidth="1"/>
    <col min="381" max="381" width="12.85546875" customWidth="1"/>
    <col min="382" max="382" width="17" bestFit="1" customWidth="1"/>
    <col min="383" max="383" width="12.85546875" customWidth="1"/>
    <col min="384" max="384" width="26" bestFit="1" customWidth="1"/>
    <col min="385" max="385" width="33.28515625" bestFit="1" customWidth="1"/>
    <col min="386" max="386" width="14.7109375" bestFit="1" customWidth="1"/>
    <col min="387" max="387" width="17" bestFit="1" customWidth="1"/>
    <col min="388" max="388" width="12.85546875" bestFit="1" customWidth="1"/>
    <col min="389" max="389" width="26" bestFit="1" customWidth="1"/>
    <col min="390" max="390" width="33.28515625" bestFit="1" customWidth="1"/>
    <col min="391" max="391" width="14.7109375" bestFit="1" customWidth="1"/>
    <col min="392" max="392" width="12.85546875" customWidth="1"/>
    <col min="393" max="393" width="26" bestFit="1" customWidth="1"/>
    <col min="394" max="394" width="33.28515625" bestFit="1" customWidth="1"/>
    <col min="395" max="395" width="14.7109375" bestFit="1" customWidth="1"/>
    <col min="396" max="396" width="33.28515625" bestFit="1" customWidth="1"/>
    <col min="397" max="397" width="14.7109375" bestFit="1" customWidth="1"/>
    <col min="398" max="398" width="33.28515625" bestFit="1" customWidth="1"/>
    <col min="399" max="399" width="14.7109375" bestFit="1" customWidth="1"/>
    <col min="400" max="400" width="33.28515625" bestFit="1" customWidth="1"/>
    <col min="401" max="401" width="14.7109375" bestFit="1" customWidth="1"/>
    <col min="402" max="402" width="33.28515625" bestFit="1" customWidth="1"/>
    <col min="403" max="403" width="14.7109375" bestFit="1" customWidth="1"/>
    <col min="404" max="404" width="17" bestFit="1" customWidth="1"/>
    <col min="405" max="405" width="12.85546875" bestFit="1" customWidth="1"/>
    <col min="406" max="406" width="26" bestFit="1" customWidth="1"/>
    <col min="407" max="407" width="33.28515625" bestFit="1" customWidth="1"/>
    <col min="408" max="408" width="14.7109375" bestFit="1" customWidth="1"/>
    <col min="409" max="409" width="26.85546875" bestFit="1" customWidth="1"/>
    <col min="410" max="410" width="12.85546875" bestFit="1" customWidth="1"/>
    <col min="411" max="411" width="17" bestFit="1" customWidth="1"/>
    <col min="412" max="412" width="12.85546875" customWidth="1"/>
    <col min="413" max="413" width="26" bestFit="1" customWidth="1"/>
    <col min="414" max="414" width="33.28515625" bestFit="1" customWidth="1"/>
    <col min="415" max="415" width="14.7109375" bestFit="1" customWidth="1"/>
    <col min="416" max="416" width="17" bestFit="1" customWidth="1"/>
    <col min="417" max="417" width="12.85546875" bestFit="1" customWidth="1"/>
    <col min="418" max="418" width="26" bestFit="1" customWidth="1"/>
    <col min="419" max="419" width="33.28515625" bestFit="1" customWidth="1"/>
    <col min="420" max="420" width="14.7109375" bestFit="1" customWidth="1"/>
    <col min="421" max="421" width="15.85546875" bestFit="1" customWidth="1"/>
    <col min="422" max="422" width="12.140625" bestFit="1" customWidth="1"/>
    <col min="423" max="423" width="24.28515625" bestFit="1" customWidth="1"/>
    <col min="424" max="424" width="30.85546875" bestFit="1" customWidth="1"/>
    <col min="425" max="425" width="14.140625" bestFit="1" customWidth="1"/>
    <col min="426" max="426" width="12.85546875" customWidth="1"/>
    <col min="427" max="427" width="26" bestFit="1" customWidth="1"/>
    <col min="428" max="428" width="33.28515625" bestFit="1" customWidth="1"/>
    <col min="429" max="429" width="14.7109375" bestFit="1" customWidth="1"/>
    <col min="430" max="430" width="17" bestFit="1" customWidth="1"/>
    <col min="431" max="431" width="12.85546875" bestFit="1" customWidth="1"/>
    <col min="432" max="432" width="26" bestFit="1" customWidth="1"/>
    <col min="433" max="433" width="33.28515625" bestFit="1" customWidth="1"/>
    <col min="434" max="434" width="14.7109375" bestFit="1" customWidth="1"/>
    <col min="435" max="435" width="16.5703125" bestFit="1" customWidth="1"/>
    <col min="436" max="436" width="26.85546875" bestFit="1" customWidth="1"/>
    <col min="437" max="437" width="12.85546875" customWidth="1"/>
    <col min="438" max="438" width="17" bestFit="1" customWidth="1"/>
    <col min="439" max="439" width="12.85546875" customWidth="1"/>
    <col min="440" max="440" width="26" bestFit="1" customWidth="1"/>
    <col min="441" max="441" width="33.28515625" bestFit="1" customWidth="1"/>
    <col min="442" max="442" width="14.7109375" bestFit="1" customWidth="1"/>
    <col min="443" max="443" width="17" bestFit="1" customWidth="1"/>
    <col min="444" max="444" width="12.85546875" bestFit="1" customWidth="1"/>
    <col min="445" max="445" width="26" bestFit="1" customWidth="1"/>
    <col min="446" max="446" width="33.28515625" bestFit="1" customWidth="1"/>
    <col min="447" max="447" width="14.7109375" bestFit="1" customWidth="1"/>
    <col min="448" max="448" width="16.5703125" bestFit="1" customWidth="1"/>
    <col min="449" max="449" width="26.85546875" bestFit="1" customWidth="1"/>
    <col min="450" max="450" width="12.85546875" bestFit="1" customWidth="1"/>
    <col min="451" max="451" width="17" bestFit="1" customWidth="1"/>
    <col min="452" max="452" width="12.85546875" bestFit="1" customWidth="1"/>
    <col min="453" max="453" width="26" bestFit="1" customWidth="1"/>
    <col min="454" max="454" width="33.28515625" bestFit="1" customWidth="1"/>
    <col min="455" max="455" width="14.7109375" bestFit="1" customWidth="1"/>
    <col min="456" max="456" width="26.85546875" bestFit="1" customWidth="1"/>
    <col min="457" max="457" width="12.85546875" bestFit="1" customWidth="1"/>
    <col min="458" max="458" width="17" bestFit="1" customWidth="1"/>
    <col min="459" max="459" width="12.85546875" customWidth="1"/>
    <col min="460" max="460" width="26" bestFit="1" customWidth="1"/>
    <col min="461" max="461" width="33.28515625" bestFit="1" customWidth="1"/>
    <col min="462" max="462" width="14.7109375" bestFit="1" customWidth="1"/>
    <col min="463" max="463" width="26" bestFit="1" customWidth="1"/>
    <col min="464" max="464" width="33.28515625" bestFit="1" customWidth="1"/>
    <col min="465" max="465" width="14.7109375" bestFit="1" customWidth="1"/>
    <col min="466" max="466" width="33.28515625" bestFit="1" customWidth="1"/>
    <col min="467" max="467" width="14.7109375" bestFit="1" customWidth="1"/>
    <col min="468" max="468" width="24.28515625" bestFit="1" customWidth="1"/>
    <col min="469" max="469" width="30.85546875" bestFit="1" customWidth="1"/>
    <col min="470" max="470" width="14.140625" bestFit="1" customWidth="1"/>
    <col min="471" max="471" width="17" bestFit="1" customWidth="1"/>
    <col min="472" max="472" width="12.85546875" bestFit="1" customWidth="1"/>
    <col min="473" max="473" width="26" bestFit="1" customWidth="1"/>
    <col min="474" max="474" width="33.28515625" bestFit="1" customWidth="1"/>
    <col min="475" max="475" width="14.7109375" bestFit="1" customWidth="1"/>
    <col min="476" max="476" width="16.5703125" customWidth="1"/>
    <col min="477" max="477" width="26.85546875" bestFit="1" customWidth="1"/>
    <col min="478" max="478" width="12.85546875" bestFit="1" customWidth="1"/>
    <col min="479" max="479" width="17" bestFit="1" customWidth="1"/>
    <col min="480" max="480" width="12.85546875" bestFit="1" customWidth="1"/>
    <col min="481" max="481" width="26" bestFit="1" customWidth="1"/>
    <col min="482" max="482" width="33.28515625" bestFit="1" customWidth="1"/>
    <col min="483" max="483" width="14.7109375" bestFit="1" customWidth="1"/>
    <col min="484" max="484" width="26.85546875" bestFit="1" customWidth="1"/>
    <col min="485" max="485" width="12.85546875" bestFit="1" customWidth="1"/>
    <col min="486" max="486" width="17" bestFit="1" customWidth="1"/>
    <col min="487" max="487" width="12.85546875" bestFit="1" customWidth="1"/>
    <col min="488" max="488" width="26" bestFit="1" customWidth="1"/>
    <col min="489" max="489" width="33.28515625" bestFit="1" customWidth="1"/>
    <col min="490" max="490" width="14.7109375" bestFit="1" customWidth="1"/>
    <col min="491" max="491" width="12.85546875" customWidth="1"/>
    <col min="492" max="492" width="26" bestFit="1" customWidth="1"/>
    <col min="493" max="493" width="33.28515625" bestFit="1" customWidth="1"/>
    <col min="494" max="494" width="14.7109375" bestFit="1" customWidth="1"/>
    <col min="495" max="495" width="17" customWidth="1"/>
    <col min="496" max="496" width="12.85546875" bestFit="1" customWidth="1"/>
    <col min="497" max="497" width="26" bestFit="1" customWidth="1"/>
    <col min="498" max="498" width="33.28515625" bestFit="1" customWidth="1"/>
    <col min="499" max="499" width="14.7109375" bestFit="1" customWidth="1"/>
    <col min="500" max="500" width="12.85546875" customWidth="1"/>
    <col min="501" max="501" width="26" bestFit="1" customWidth="1"/>
    <col min="502" max="502" width="33.28515625" bestFit="1" customWidth="1"/>
    <col min="503" max="503" width="14.7109375" bestFit="1" customWidth="1"/>
    <col min="504" max="504" width="33.28515625" bestFit="1" customWidth="1"/>
    <col min="505" max="505" width="14.7109375" bestFit="1" customWidth="1"/>
    <col min="506" max="506" width="17" bestFit="1" customWidth="1"/>
    <col min="507" max="507" width="12.85546875" bestFit="1" customWidth="1"/>
    <col min="508" max="508" width="26" bestFit="1" customWidth="1"/>
    <col min="509" max="509" width="33.28515625" bestFit="1" customWidth="1"/>
    <col min="510" max="510" width="14.7109375" bestFit="1" customWidth="1"/>
    <col min="511" max="511" width="33.28515625" bestFit="1" customWidth="1"/>
    <col min="512" max="512" width="14.7109375" bestFit="1" customWidth="1"/>
    <col min="513" max="513" width="17" bestFit="1" customWidth="1"/>
    <col min="514" max="514" width="12.85546875" bestFit="1" customWidth="1"/>
    <col min="515" max="515" width="26" bestFit="1" customWidth="1"/>
    <col min="516" max="516" width="33.28515625" bestFit="1" customWidth="1"/>
    <col min="517" max="517" width="14.7109375" bestFit="1" customWidth="1"/>
    <col min="518" max="518" width="33.28515625" bestFit="1" customWidth="1"/>
    <col min="519" max="519" width="14.7109375" bestFit="1" customWidth="1"/>
    <col min="520" max="520" width="33.28515625" bestFit="1" customWidth="1"/>
    <col min="521" max="521" width="14.7109375" bestFit="1" customWidth="1"/>
    <col min="522" max="523" width="12.85546875" bestFit="1" customWidth="1"/>
    <col min="524" max="524" width="26" bestFit="1" customWidth="1"/>
    <col min="525" max="525" width="33.28515625" bestFit="1" customWidth="1"/>
    <col min="526" max="526" width="14.7109375" bestFit="1" customWidth="1"/>
    <col min="527" max="527" width="33.28515625" bestFit="1" customWidth="1"/>
    <col min="528" max="528" width="14.7109375" bestFit="1" customWidth="1"/>
    <col min="529" max="529" width="7" bestFit="1" customWidth="1"/>
    <col min="530" max="530" width="16.5703125" bestFit="1" customWidth="1"/>
    <col min="531" max="531" width="26.85546875" bestFit="1" customWidth="1"/>
    <col min="532" max="532" width="12.85546875" bestFit="1" customWidth="1"/>
    <col min="533" max="533" width="12.85546875" customWidth="1"/>
    <col min="534" max="534" width="26" bestFit="1" customWidth="1"/>
    <col min="535" max="535" width="33.28515625" bestFit="1" customWidth="1"/>
    <col min="536" max="536" width="14.7109375" bestFit="1" customWidth="1"/>
    <col min="537" max="537" width="12.85546875" bestFit="1" customWidth="1"/>
    <col min="538" max="538" width="26" bestFit="1" customWidth="1"/>
    <col min="539" max="539" width="33.28515625" bestFit="1" customWidth="1"/>
    <col min="540" max="540" width="14.7109375" bestFit="1" customWidth="1"/>
    <col min="541" max="541" width="26.85546875" bestFit="1" customWidth="1"/>
    <col min="542" max="543" width="12.85546875" bestFit="1" customWidth="1"/>
    <col min="544" max="544" width="26" customWidth="1"/>
    <col min="545" max="545" width="33.28515625" bestFit="1" customWidth="1"/>
    <col min="546" max="546" width="14.7109375" bestFit="1" customWidth="1"/>
    <col min="547" max="547" width="33.28515625" bestFit="1" customWidth="1"/>
    <col min="548" max="548" width="14.7109375" bestFit="1" customWidth="1"/>
    <col min="549" max="549" width="5.28515625" bestFit="1" customWidth="1"/>
    <col min="550" max="550" width="6.28515625" bestFit="1" customWidth="1"/>
    <col min="551" max="551" width="23.5703125" bestFit="1" customWidth="1"/>
    <col min="552" max="552" width="8.5703125" bestFit="1" customWidth="1"/>
    <col min="553" max="553" width="11.140625" bestFit="1" customWidth="1"/>
    <col min="554" max="554" width="11.5703125" bestFit="1" customWidth="1"/>
    <col min="555" max="555" width="7" bestFit="1" customWidth="1"/>
    <col min="556" max="556" width="10.28515625" customWidth="1"/>
    <col min="557" max="558" width="7" bestFit="1" customWidth="1"/>
    <col min="559" max="559" width="16.5703125" bestFit="1" customWidth="1"/>
    <col min="560" max="560" width="26.85546875" bestFit="1" customWidth="1"/>
    <col min="561" max="562" width="12.85546875" bestFit="1" customWidth="1"/>
    <col min="563" max="563" width="26" bestFit="1" customWidth="1"/>
    <col min="564" max="564" width="33.28515625" bestFit="1" customWidth="1"/>
    <col min="565" max="565" width="14.7109375" bestFit="1" customWidth="1"/>
    <col min="566" max="567" width="7" bestFit="1" customWidth="1"/>
    <col min="568" max="568" width="16.5703125" bestFit="1" customWidth="1"/>
    <col min="569" max="569" width="26.85546875" bestFit="1" customWidth="1"/>
    <col min="570" max="571" width="12.85546875" bestFit="1" customWidth="1"/>
    <col min="572" max="572" width="26" bestFit="1" customWidth="1"/>
    <col min="573" max="573" width="33.28515625" bestFit="1" customWidth="1"/>
    <col min="574" max="574" width="14.7109375" bestFit="1" customWidth="1"/>
    <col min="575" max="576" width="7" bestFit="1" customWidth="1"/>
    <col min="577" max="577" width="16.5703125" bestFit="1" customWidth="1"/>
    <col min="578" max="578" width="26.85546875" bestFit="1" customWidth="1"/>
    <col min="579" max="580" width="12.85546875" bestFit="1" customWidth="1"/>
    <col min="581" max="581" width="26" bestFit="1" customWidth="1"/>
    <col min="582" max="582" width="33.28515625" bestFit="1" customWidth="1"/>
    <col min="583" max="583" width="14.7109375" bestFit="1" customWidth="1"/>
    <col min="584" max="585" width="12.85546875" bestFit="1" customWidth="1"/>
    <col min="586" max="586" width="26" customWidth="1"/>
    <col min="587" max="587" width="33.28515625" bestFit="1" customWidth="1"/>
    <col min="588" max="588" width="14.7109375" bestFit="1" customWidth="1"/>
    <col min="589" max="589" width="33.28515625" bestFit="1" customWidth="1"/>
    <col min="590" max="590" width="14.7109375" bestFit="1" customWidth="1"/>
    <col min="591" max="591" width="12.85546875" customWidth="1"/>
    <col min="592" max="592" width="26" bestFit="1" customWidth="1"/>
    <col min="593" max="593" width="33.28515625" bestFit="1" customWidth="1"/>
    <col min="594" max="594" width="14.7109375" bestFit="1" customWidth="1"/>
    <col min="595" max="595" width="12.85546875" customWidth="1"/>
    <col min="596" max="596" width="26" bestFit="1" customWidth="1"/>
    <col min="597" max="597" width="33.28515625" bestFit="1" customWidth="1"/>
    <col min="598" max="598" width="14.7109375" bestFit="1" customWidth="1"/>
    <col min="599" max="599" width="12.85546875" bestFit="1" customWidth="1"/>
    <col min="600" max="600" width="26" bestFit="1" customWidth="1"/>
    <col min="601" max="601" width="33.28515625" bestFit="1" customWidth="1"/>
    <col min="602" max="602" width="14.7109375" bestFit="1" customWidth="1"/>
    <col min="603" max="603" width="18.5703125" bestFit="1" customWidth="1"/>
    <col min="604" max="604" width="8.5703125" bestFit="1" customWidth="1"/>
    <col min="605" max="605" width="31" bestFit="1" customWidth="1"/>
    <col min="606" max="606" width="9.42578125" bestFit="1" customWidth="1"/>
    <col min="607" max="607" width="11.140625" bestFit="1" customWidth="1"/>
    <col min="608" max="608" width="12" bestFit="1" customWidth="1"/>
    <col min="609" max="609" width="14.7109375" bestFit="1" customWidth="1"/>
  </cols>
  <sheetData>
    <row r="1" spans="1:81" x14ac:dyDescent="0.25">
      <c r="A1" t="s">
        <v>0</v>
      </c>
      <c r="B1" t="s">
        <v>38</v>
      </c>
      <c r="C1" t="s">
        <v>46</v>
      </c>
      <c r="D1" t="s">
        <v>17</v>
      </c>
      <c r="E1" s="1" t="s">
        <v>42</v>
      </c>
      <c r="F1" s="1" t="s">
        <v>41</v>
      </c>
      <c r="G1" t="s">
        <v>44</v>
      </c>
      <c r="H1" t="s">
        <v>1</v>
      </c>
      <c r="I1" t="s">
        <v>43</v>
      </c>
      <c r="J1" t="s">
        <v>65</v>
      </c>
      <c r="K1" t="s">
        <v>124</v>
      </c>
      <c r="L1" t="s">
        <v>125</v>
      </c>
      <c r="M1" t="s">
        <v>126</v>
      </c>
      <c r="N1" t="s">
        <v>127</v>
      </c>
      <c r="O1" t="s">
        <v>418</v>
      </c>
      <c r="P1" t="s">
        <v>419</v>
      </c>
      <c r="Q1" t="s">
        <v>420</v>
      </c>
      <c r="R1" t="s">
        <v>421</v>
      </c>
      <c r="S1" t="s">
        <v>366</v>
      </c>
      <c r="T1" t="s">
        <v>367</v>
      </c>
      <c r="U1" t="s">
        <v>128</v>
      </c>
      <c r="V1" t="s">
        <v>129</v>
      </c>
      <c r="W1" t="s">
        <v>163</v>
      </c>
      <c r="X1" t="s">
        <v>164</v>
      </c>
      <c r="Y1" t="s">
        <v>47</v>
      </c>
      <c r="Z1" t="s">
        <v>48</v>
      </c>
      <c r="AA1" t="s">
        <v>130</v>
      </c>
      <c r="AB1" t="s">
        <v>131</v>
      </c>
      <c r="AC1" t="s">
        <v>165</v>
      </c>
      <c r="AD1" t="s">
        <v>166</v>
      </c>
      <c r="AE1" t="s">
        <v>422</v>
      </c>
      <c r="AF1" t="s">
        <v>423</v>
      </c>
      <c r="AG1" t="s">
        <v>88</v>
      </c>
      <c r="AH1" t="s">
        <v>89</v>
      </c>
      <c r="AI1" t="s">
        <v>240</v>
      </c>
      <c r="AJ1" t="s">
        <v>241</v>
      </c>
      <c r="AK1" t="s">
        <v>242</v>
      </c>
      <c r="AL1" t="s">
        <v>243</v>
      </c>
      <c r="AM1" t="s">
        <v>49</v>
      </c>
      <c r="AN1" t="s">
        <v>50</v>
      </c>
      <c r="AO1" t="s">
        <v>262</v>
      </c>
      <c r="AP1" t="s">
        <v>263</v>
      </c>
      <c r="AQ1" t="s">
        <v>299</v>
      </c>
      <c r="AR1" t="s">
        <v>300</v>
      </c>
      <c r="AS1" t="s">
        <v>171</v>
      </c>
      <c r="AT1" t="s">
        <v>244</v>
      </c>
      <c r="AU1" t="s">
        <v>270</v>
      </c>
      <c r="AV1" t="s">
        <v>51</v>
      </c>
      <c r="AW1" t="s">
        <v>52</v>
      </c>
      <c r="AX1" t="s">
        <v>53</v>
      </c>
      <c r="AY1" t="s">
        <v>117</v>
      </c>
      <c r="AZ1" t="s">
        <v>118</v>
      </c>
      <c r="BA1" t="s">
        <v>54</v>
      </c>
      <c r="BB1" t="s">
        <v>61</v>
      </c>
      <c r="BC1" t="s">
        <v>119</v>
      </c>
      <c r="BD1" t="s">
        <v>120</v>
      </c>
      <c r="BE1" t="s">
        <v>301</v>
      </c>
      <c r="BF1" t="s">
        <v>302</v>
      </c>
      <c r="BG1" t="s">
        <v>558</v>
      </c>
      <c r="BH1" t="s">
        <v>232</v>
      </c>
      <c r="BI1" t="s">
        <v>319</v>
      </c>
      <c r="BJ1" t="s">
        <v>400</v>
      </c>
      <c r="BK1" t="s">
        <v>401</v>
      </c>
      <c r="BL1" t="s">
        <v>62</v>
      </c>
      <c r="BM1" t="s">
        <v>11</v>
      </c>
      <c r="BN1" t="s">
        <v>36</v>
      </c>
      <c r="BO1" t="s">
        <v>37</v>
      </c>
      <c r="BP1" t="s">
        <v>39</v>
      </c>
      <c r="BQ1" t="s">
        <v>18</v>
      </c>
      <c r="BR1" t="s">
        <v>21</v>
      </c>
      <c r="BS1" t="s">
        <v>19</v>
      </c>
      <c r="BT1" t="s">
        <v>20</v>
      </c>
      <c r="BU1" t="s">
        <v>22</v>
      </c>
      <c r="BV1" t="s">
        <v>13</v>
      </c>
      <c r="BW1" t="s">
        <v>23</v>
      </c>
      <c r="BX1" t="s">
        <v>69</v>
      </c>
      <c r="BY1" t="s">
        <v>231</v>
      </c>
      <c r="BZ1" t="s">
        <v>24</v>
      </c>
      <c r="CA1" t="s">
        <v>25</v>
      </c>
      <c r="CB1" t="s">
        <v>14</v>
      </c>
      <c r="CC1" t="s">
        <v>40</v>
      </c>
    </row>
    <row r="2" spans="1:81" x14ac:dyDescent="0.25">
      <c r="A2">
        <v>168</v>
      </c>
      <c r="B2" s="2">
        <v>45202</v>
      </c>
      <c r="C2" t="s">
        <v>409</v>
      </c>
      <c r="D2" s="4">
        <v>8</v>
      </c>
      <c r="E2" s="1">
        <v>101.29</v>
      </c>
      <c r="F2" s="1">
        <v>810.32</v>
      </c>
      <c r="G2" t="s">
        <v>172</v>
      </c>
      <c r="H2" t="s">
        <v>91</v>
      </c>
      <c r="I2" t="s">
        <v>45</v>
      </c>
      <c r="J2">
        <v>343.28000000000003</v>
      </c>
      <c r="BM2" t="s">
        <v>18</v>
      </c>
      <c r="BN2" t="s">
        <v>5</v>
      </c>
      <c r="BO2" t="s">
        <v>9</v>
      </c>
      <c r="BP2">
        <v>58.38</v>
      </c>
      <c r="BQ2">
        <v>101.29</v>
      </c>
      <c r="BR2">
        <v>180.04</v>
      </c>
      <c r="BS2">
        <v>143.13999999999999</v>
      </c>
      <c r="BT2">
        <v>209.18</v>
      </c>
      <c r="BU2">
        <v>9.81</v>
      </c>
      <c r="BV2">
        <v>38.76</v>
      </c>
      <c r="BW2">
        <v>7.67</v>
      </c>
      <c r="BX2">
        <v>0</v>
      </c>
      <c r="BY2">
        <v>0</v>
      </c>
      <c r="BZ2">
        <v>8.7899999999999991</v>
      </c>
      <c r="CA2">
        <v>68.58</v>
      </c>
      <c r="CB2">
        <v>2.79</v>
      </c>
      <c r="CC2">
        <v>467.04</v>
      </c>
    </row>
    <row r="3" spans="1:81" x14ac:dyDescent="0.25">
      <c r="A3">
        <v>168</v>
      </c>
      <c r="B3" s="2">
        <v>45202</v>
      </c>
      <c r="C3" t="s">
        <v>320</v>
      </c>
      <c r="D3" s="4">
        <v>2</v>
      </c>
      <c r="E3" s="1">
        <v>143.13999999999999</v>
      </c>
      <c r="F3" s="1">
        <v>286.27999999999997</v>
      </c>
      <c r="G3" t="s">
        <v>172</v>
      </c>
      <c r="H3" t="s">
        <v>91</v>
      </c>
      <c r="I3" t="s">
        <v>45</v>
      </c>
      <c r="J3">
        <v>52.759999999999962</v>
      </c>
      <c r="BM3" t="s">
        <v>19</v>
      </c>
      <c r="BN3" t="s">
        <v>5</v>
      </c>
      <c r="BO3" t="s">
        <v>9</v>
      </c>
      <c r="BP3">
        <v>116.76</v>
      </c>
      <c r="BQ3">
        <v>101.29</v>
      </c>
      <c r="BR3">
        <v>180.04</v>
      </c>
      <c r="BS3">
        <v>143.13999999999999</v>
      </c>
      <c r="BT3">
        <v>209.18</v>
      </c>
      <c r="BU3">
        <v>9.81</v>
      </c>
      <c r="BV3">
        <v>38.76</v>
      </c>
      <c r="BW3">
        <v>7.67</v>
      </c>
      <c r="BX3">
        <v>0</v>
      </c>
      <c r="BY3">
        <v>0</v>
      </c>
      <c r="BZ3">
        <v>8.7899999999999991</v>
      </c>
      <c r="CA3">
        <v>68.58</v>
      </c>
      <c r="CB3">
        <v>2.79</v>
      </c>
      <c r="CC3">
        <v>233.52</v>
      </c>
    </row>
    <row r="4" spans="1:81" x14ac:dyDescent="0.25">
      <c r="A4">
        <v>168</v>
      </c>
      <c r="B4" s="2">
        <v>45203</v>
      </c>
      <c r="C4" t="s">
        <v>409</v>
      </c>
      <c r="D4" s="4">
        <v>8</v>
      </c>
      <c r="E4" s="1">
        <v>101.29</v>
      </c>
      <c r="F4" s="1">
        <v>810.32</v>
      </c>
      <c r="G4" t="s">
        <v>172</v>
      </c>
      <c r="H4" t="s">
        <v>91</v>
      </c>
      <c r="I4" t="s">
        <v>45</v>
      </c>
      <c r="J4">
        <v>343.28000000000003</v>
      </c>
      <c r="BM4" t="s">
        <v>18</v>
      </c>
      <c r="BN4" t="s">
        <v>5</v>
      </c>
      <c r="BO4" t="s">
        <v>9</v>
      </c>
      <c r="BP4">
        <v>58.38</v>
      </c>
      <c r="BQ4">
        <v>101.29</v>
      </c>
      <c r="BR4">
        <v>180.04</v>
      </c>
      <c r="BS4">
        <v>143.13999999999999</v>
      </c>
      <c r="BT4">
        <v>209.18</v>
      </c>
      <c r="BU4">
        <v>9.81</v>
      </c>
      <c r="BV4">
        <v>38.76</v>
      </c>
      <c r="BW4">
        <v>7.67</v>
      </c>
      <c r="BX4">
        <v>0</v>
      </c>
      <c r="BY4">
        <v>0</v>
      </c>
      <c r="BZ4">
        <v>8.7899999999999991</v>
      </c>
      <c r="CA4">
        <v>68.58</v>
      </c>
      <c r="CB4">
        <v>2.79</v>
      </c>
      <c r="CC4">
        <v>467.04</v>
      </c>
    </row>
    <row r="5" spans="1:81" x14ac:dyDescent="0.25">
      <c r="A5">
        <v>168</v>
      </c>
      <c r="B5" s="2">
        <v>45203</v>
      </c>
      <c r="C5" t="s">
        <v>320</v>
      </c>
      <c r="D5" s="4">
        <v>3</v>
      </c>
      <c r="E5" s="1">
        <v>143.13999999999999</v>
      </c>
      <c r="F5" s="1">
        <v>429.41999999999996</v>
      </c>
      <c r="G5" t="s">
        <v>172</v>
      </c>
      <c r="H5" t="s">
        <v>91</v>
      </c>
      <c r="I5" t="s">
        <v>45</v>
      </c>
      <c r="J5">
        <v>79.139999999999986</v>
      </c>
      <c r="BM5" t="s">
        <v>19</v>
      </c>
      <c r="BN5" t="s">
        <v>5</v>
      </c>
      <c r="BO5" t="s">
        <v>9</v>
      </c>
      <c r="BP5">
        <v>116.76</v>
      </c>
      <c r="BQ5">
        <v>101.29</v>
      </c>
      <c r="BR5">
        <v>180.04</v>
      </c>
      <c r="BS5">
        <v>143.13999999999999</v>
      </c>
      <c r="BT5">
        <v>209.18</v>
      </c>
      <c r="BU5">
        <v>9.81</v>
      </c>
      <c r="BV5">
        <v>38.76</v>
      </c>
      <c r="BW5">
        <v>7.67</v>
      </c>
      <c r="BX5">
        <v>0</v>
      </c>
      <c r="BY5">
        <v>0</v>
      </c>
      <c r="BZ5">
        <v>8.7899999999999991</v>
      </c>
      <c r="CA5">
        <v>68.58</v>
      </c>
      <c r="CB5">
        <v>2.79</v>
      </c>
      <c r="CC5">
        <v>350.28</v>
      </c>
    </row>
    <row r="6" spans="1:81" x14ac:dyDescent="0.25">
      <c r="A6">
        <v>168</v>
      </c>
      <c r="B6" s="2">
        <v>45204</v>
      </c>
      <c r="C6" t="s">
        <v>409</v>
      </c>
      <c r="D6" s="4">
        <v>8</v>
      </c>
      <c r="E6" s="1">
        <v>101.29</v>
      </c>
      <c r="F6" s="1">
        <v>810.32</v>
      </c>
      <c r="G6" t="s">
        <v>172</v>
      </c>
      <c r="H6" t="s">
        <v>91</v>
      </c>
      <c r="I6" t="s">
        <v>45</v>
      </c>
      <c r="J6">
        <v>343.28000000000003</v>
      </c>
      <c r="BM6" t="s">
        <v>18</v>
      </c>
      <c r="BN6" t="s">
        <v>5</v>
      </c>
      <c r="BO6" t="s">
        <v>9</v>
      </c>
      <c r="BP6">
        <v>58.38</v>
      </c>
      <c r="BQ6">
        <v>101.29</v>
      </c>
      <c r="BR6">
        <v>180.04</v>
      </c>
      <c r="BS6">
        <v>143.13999999999999</v>
      </c>
      <c r="BT6">
        <v>209.18</v>
      </c>
      <c r="BU6">
        <v>9.81</v>
      </c>
      <c r="BV6">
        <v>38.76</v>
      </c>
      <c r="BW6">
        <v>7.67</v>
      </c>
      <c r="BX6">
        <v>0</v>
      </c>
      <c r="BY6">
        <v>0</v>
      </c>
      <c r="BZ6">
        <v>8.7899999999999991</v>
      </c>
      <c r="CA6">
        <v>68.58</v>
      </c>
      <c r="CB6">
        <v>2.79</v>
      </c>
      <c r="CC6">
        <v>467.04</v>
      </c>
    </row>
    <row r="7" spans="1:81" x14ac:dyDescent="0.25">
      <c r="A7">
        <v>168</v>
      </c>
      <c r="B7" s="2">
        <v>45204</v>
      </c>
      <c r="C7" t="s">
        <v>320</v>
      </c>
      <c r="D7" s="4">
        <v>4</v>
      </c>
      <c r="E7" s="1">
        <v>143.13999999999999</v>
      </c>
      <c r="F7" s="1">
        <v>572.55999999999995</v>
      </c>
      <c r="G7" t="s">
        <v>172</v>
      </c>
      <c r="H7" t="s">
        <v>91</v>
      </c>
      <c r="I7" t="s">
        <v>45</v>
      </c>
      <c r="J7">
        <v>105.51999999999992</v>
      </c>
      <c r="BM7" t="s">
        <v>19</v>
      </c>
      <c r="BN7" t="s">
        <v>5</v>
      </c>
      <c r="BO7" t="s">
        <v>9</v>
      </c>
      <c r="BP7">
        <v>116.76</v>
      </c>
      <c r="BQ7">
        <v>101.29</v>
      </c>
      <c r="BR7">
        <v>180.04</v>
      </c>
      <c r="BS7">
        <v>143.13999999999999</v>
      </c>
      <c r="BT7">
        <v>209.18</v>
      </c>
      <c r="BU7">
        <v>9.81</v>
      </c>
      <c r="BV7">
        <v>38.76</v>
      </c>
      <c r="BW7">
        <v>7.67</v>
      </c>
      <c r="BX7">
        <v>0</v>
      </c>
      <c r="BY7">
        <v>0</v>
      </c>
      <c r="BZ7">
        <v>8.7899999999999991</v>
      </c>
      <c r="CA7">
        <v>68.58</v>
      </c>
      <c r="CB7">
        <v>2.79</v>
      </c>
      <c r="CC7">
        <v>467.04</v>
      </c>
    </row>
    <row r="8" spans="1:81" x14ac:dyDescent="0.25">
      <c r="A8">
        <v>168</v>
      </c>
      <c r="B8" s="2">
        <v>45205</v>
      </c>
      <c r="C8" t="s">
        <v>409</v>
      </c>
      <c r="D8" s="4">
        <v>8</v>
      </c>
      <c r="E8" s="1">
        <v>101.29</v>
      </c>
      <c r="F8" s="1">
        <v>810.32</v>
      </c>
      <c r="G8" t="s">
        <v>172</v>
      </c>
      <c r="H8" t="s">
        <v>91</v>
      </c>
      <c r="I8" t="s">
        <v>45</v>
      </c>
      <c r="J8">
        <v>343.28000000000003</v>
      </c>
      <c r="BM8" t="s">
        <v>18</v>
      </c>
      <c r="BN8" t="s">
        <v>5</v>
      </c>
      <c r="BO8" t="s">
        <v>9</v>
      </c>
      <c r="BP8">
        <v>58.38</v>
      </c>
      <c r="BQ8">
        <v>101.29</v>
      </c>
      <c r="BR8">
        <v>180.04</v>
      </c>
      <c r="BS8">
        <v>143.13999999999999</v>
      </c>
      <c r="BT8">
        <v>209.18</v>
      </c>
      <c r="BU8">
        <v>9.81</v>
      </c>
      <c r="BV8">
        <v>38.76</v>
      </c>
      <c r="BW8">
        <v>7.67</v>
      </c>
      <c r="BX8">
        <v>0</v>
      </c>
      <c r="BY8">
        <v>0</v>
      </c>
      <c r="BZ8">
        <v>8.7899999999999991</v>
      </c>
      <c r="CA8">
        <v>68.58</v>
      </c>
      <c r="CB8">
        <v>2.79</v>
      </c>
      <c r="CC8">
        <v>467.04</v>
      </c>
    </row>
    <row r="9" spans="1:81" x14ac:dyDescent="0.25">
      <c r="A9">
        <v>168</v>
      </c>
      <c r="B9" s="2">
        <v>45205</v>
      </c>
      <c r="C9" t="s">
        <v>320</v>
      </c>
      <c r="D9" s="4">
        <v>3.5</v>
      </c>
      <c r="E9" s="1">
        <v>143.13999999999999</v>
      </c>
      <c r="F9" s="1">
        <v>500.98999999999995</v>
      </c>
      <c r="G9" t="s">
        <v>172</v>
      </c>
      <c r="H9" t="s">
        <v>91</v>
      </c>
      <c r="I9" t="s">
        <v>45</v>
      </c>
      <c r="J9">
        <v>92.329999999999927</v>
      </c>
      <c r="BM9" t="s">
        <v>19</v>
      </c>
      <c r="BN9" t="s">
        <v>5</v>
      </c>
      <c r="BO9" t="s">
        <v>9</v>
      </c>
      <c r="BP9">
        <v>116.76</v>
      </c>
      <c r="BQ9">
        <v>101.29</v>
      </c>
      <c r="BR9">
        <v>180.04</v>
      </c>
      <c r="BS9">
        <v>143.13999999999999</v>
      </c>
      <c r="BT9">
        <v>209.18</v>
      </c>
      <c r="BU9">
        <v>9.81</v>
      </c>
      <c r="BV9">
        <v>38.76</v>
      </c>
      <c r="BW9">
        <v>7.67</v>
      </c>
      <c r="BX9">
        <v>0</v>
      </c>
      <c r="BY9">
        <v>0</v>
      </c>
      <c r="BZ9">
        <v>8.7899999999999991</v>
      </c>
      <c r="CA9">
        <v>68.58</v>
      </c>
      <c r="CB9">
        <v>2.79</v>
      </c>
      <c r="CC9">
        <v>408.66</v>
      </c>
    </row>
    <row r="10" spans="1:81" x14ac:dyDescent="0.25">
      <c r="A10">
        <v>168</v>
      </c>
      <c r="B10" s="2">
        <v>45207</v>
      </c>
      <c r="C10" t="s">
        <v>321</v>
      </c>
      <c r="D10" s="4">
        <v>4</v>
      </c>
      <c r="E10" s="1">
        <v>38.76</v>
      </c>
      <c r="F10" s="1">
        <v>155.04</v>
      </c>
      <c r="G10" t="s">
        <v>172</v>
      </c>
      <c r="H10" t="s">
        <v>91</v>
      </c>
      <c r="I10" t="s">
        <v>45</v>
      </c>
      <c r="J10">
        <v>10.679999999999978</v>
      </c>
      <c r="K10" t="s">
        <v>135</v>
      </c>
      <c r="L10" t="s">
        <v>390</v>
      </c>
      <c r="M10" t="s">
        <v>435</v>
      </c>
      <c r="N10" t="s">
        <v>436</v>
      </c>
      <c r="O10" t="s">
        <v>437</v>
      </c>
      <c r="P10" t="s">
        <v>438</v>
      </c>
      <c r="Q10" t="s">
        <v>437</v>
      </c>
      <c r="R10" t="s">
        <v>439</v>
      </c>
      <c r="S10" t="s">
        <v>167</v>
      </c>
      <c r="T10" t="s">
        <v>440</v>
      </c>
      <c r="U10" t="s">
        <v>233</v>
      </c>
      <c r="V10" t="s">
        <v>368</v>
      </c>
      <c r="W10" t="s">
        <v>60</v>
      </c>
      <c r="X10" t="s">
        <v>60</v>
      </c>
      <c r="Y10" t="s">
        <v>76</v>
      </c>
      <c r="Z10" t="s">
        <v>56</v>
      </c>
      <c r="AA10" t="s">
        <v>60</v>
      </c>
      <c r="AB10" t="s">
        <v>60</v>
      </c>
      <c r="AC10" t="s">
        <v>60</v>
      </c>
      <c r="AD10" t="s">
        <v>60</v>
      </c>
      <c r="AE10" t="s">
        <v>60</v>
      </c>
      <c r="AF10" t="s">
        <v>60</v>
      </c>
      <c r="AG10" t="s">
        <v>60</v>
      </c>
      <c r="AH10" t="s">
        <v>60</v>
      </c>
      <c r="AI10">
        <v>4</v>
      </c>
      <c r="AJ10">
        <v>144.36000000000001</v>
      </c>
      <c r="AK10" t="s">
        <v>431</v>
      </c>
      <c r="AL10" t="s">
        <v>432</v>
      </c>
      <c r="AM10" t="s">
        <v>57</v>
      </c>
      <c r="AN10" t="s">
        <v>58</v>
      </c>
      <c r="AO10" t="s">
        <v>60</v>
      </c>
      <c r="AP10" t="s">
        <v>60</v>
      </c>
      <c r="AQ10">
        <v>0</v>
      </c>
      <c r="AR10">
        <v>0</v>
      </c>
      <c r="AS10" t="s">
        <v>60</v>
      </c>
      <c r="AT10" t="s">
        <v>60</v>
      </c>
      <c r="AU10" t="s">
        <v>60</v>
      </c>
      <c r="AV10" t="s">
        <v>59</v>
      </c>
      <c r="AW10" t="s">
        <v>485</v>
      </c>
      <c r="AX10" t="s">
        <v>485</v>
      </c>
      <c r="AY10" t="s">
        <v>487</v>
      </c>
      <c r="AZ10" t="s">
        <v>488</v>
      </c>
      <c r="BA10" t="s">
        <v>486</v>
      </c>
      <c r="BB10" t="s">
        <v>489</v>
      </c>
      <c r="BL10" t="s">
        <v>490</v>
      </c>
      <c r="BM10" t="s">
        <v>13</v>
      </c>
      <c r="BN10" t="s">
        <v>15</v>
      </c>
      <c r="BO10" t="s">
        <v>9</v>
      </c>
      <c r="BP10">
        <v>36.090000000000003</v>
      </c>
      <c r="BQ10">
        <v>101.29</v>
      </c>
      <c r="BR10">
        <v>180.04</v>
      </c>
      <c r="BS10">
        <v>143.13999999999999</v>
      </c>
      <c r="BT10">
        <v>209.18</v>
      </c>
      <c r="BU10">
        <v>9.81</v>
      </c>
      <c r="BV10">
        <v>38.76</v>
      </c>
      <c r="BW10">
        <v>7.67</v>
      </c>
      <c r="BX10">
        <v>0</v>
      </c>
      <c r="BY10">
        <v>0</v>
      </c>
      <c r="BZ10">
        <v>8.7899999999999991</v>
      </c>
      <c r="CA10">
        <v>68.58</v>
      </c>
      <c r="CB10">
        <v>2.79</v>
      </c>
      <c r="CC10">
        <v>144.36000000000001</v>
      </c>
    </row>
    <row r="11" spans="1:81" x14ac:dyDescent="0.25">
      <c r="A11">
        <v>168</v>
      </c>
      <c r="B11" s="2">
        <v>45207</v>
      </c>
      <c r="C11" t="s">
        <v>322</v>
      </c>
      <c r="D11" s="4">
        <v>44.5</v>
      </c>
      <c r="E11" s="1">
        <v>9.81</v>
      </c>
      <c r="F11" s="1">
        <v>436.54500000000002</v>
      </c>
      <c r="G11" t="s">
        <v>172</v>
      </c>
      <c r="H11" t="s">
        <v>91</v>
      </c>
      <c r="I11" t="s">
        <v>45</v>
      </c>
      <c r="J11">
        <v>93.895000000000039</v>
      </c>
      <c r="K11" t="s">
        <v>135</v>
      </c>
      <c r="L11" t="s">
        <v>390</v>
      </c>
      <c r="M11" t="s">
        <v>435</v>
      </c>
      <c r="N11" t="s">
        <v>436</v>
      </c>
      <c r="O11" t="s">
        <v>437</v>
      </c>
      <c r="P11" t="s">
        <v>438</v>
      </c>
      <c r="Q11" t="s">
        <v>437</v>
      </c>
      <c r="R11" t="s">
        <v>439</v>
      </c>
      <c r="S11" t="s">
        <v>167</v>
      </c>
      <c r="T11" t="s">
        <v>440</v>
      </c>
      <c r="U11" t="s">
        <v>233</v>
      </c>
      <c r="V11" t="s">
        <v>368</v>
      </c>
      <c r="W11" t="s">
        <v>60</v>
      </c>
      <c r="X11" t="s">
        <v>60</v>
      </c>
      <c r="Y11" t="s">
        <v>76</v>
      </c>
      <c r="Z11" t="s">
        <v>56</v>
      </c>
      <c r="AA11" t="s">
        <v>60</v>
      </c>
      <c r="AB11" t="s">
        <v>60</v>
      </c>
      <c r="AC11" t="s">
        <v>60</v>
      </c>
      <c r="AD11" t="s">
        <v>60</v>
      </c>
      <c r="AE11" t="s">
        <v>60</v>
      </c>
      <c r="AF11" t="s">
        <v>60</v>
      </c>
      <c r="AG11" t="s">
        <v>60</v>
      </c>
      <c r="AH11" t="s">
        <v>60</v>
      </c>
      <c r="AI11" t="s">
        <v>133</v>
      </c>
      <c r="AJ11" t="s">
        <v>331</v>
      </c>
      <c r="AK11" t="s">
        <v>431</v>
      </c>
      <c r="AL11" t="s">
        <v>432</v>
      </c>
      <c r="AM11" t="s">
        <v>57</v>
      </c>
      <c r="AN11" t="s">
        <v>58</v>
      </c>
      <c r="AV11" t="s">
        <v>59</v>
      </c>
      <c r="BM11" t="s">
        <v>22</v>
      </c>
      <c r="BN11" t="s">
        <v>15</v>
      </c>
      <c r="BO11" t="s">
        <v>9</v>
      </c>
      <c r="BP11">
        <v>7.6999999999999993</v>
      </c>
      <c r="BQ11">
        <v>101.29</v>
      </c>
      <c r="BR11">
        <v>180.04</v>
      </c>
      <c r="BS11">
        <v>143.13999999999999</v>
      </c>
      <c r="BT11">
        <v>209.18</v>
      </c>
      <c r="BU11">
        <v>9.81</v>
      </c>
      <c r="BV11">
        <v>38.76</v>
      </c>
      <c r="BW11">
        <v>7.67</v>
      </c>
      <c r="BX11">
        <v>0</v>
      </c>
      <c r="BY11">
        <v>0</v>
      </c>
      <c r="BZ11">
        <v>8.7899999999999991</v>
      </c>
      <c r="CA11">
        <v>68.58</v>
      </c>
      <c r="CB11">
        <v>2.79</v>
      </c>
      <c r="CC11">
        <v>342.65</v>
      </c>
    </row>
    <row r="12" spans="1:81" x14ac:dyDescent="0.25">
      <c r="A12">
        <v>168</v>
      </c>
      <c r="B12" s="2">
        <v>45207</v>
      </c>
      <c r="C12" t="s">
        <v>323</v>
      </c>
      <c r="D12" s="4">
        <v>5</v>
      </c>
      <c r="E12" s="1">
        <v>68.58</v>
      </c>
      <c r="F12" s="1">
        <v>342.9</v>
      </c>
      <c r="G12" t="s">
        <v>172</v>
      </c>
      <c r="H12" t="s">
        <v>91</v>
      </c>
      <c r="I12" t="s">
        <v>45</v>
      </c>
      <c r="J12">
        <v>67.899999999999977</v>
      </c>
      <c r="K12" t="s">
        <v>135</v>
      </c>
      <c r="L12" t="s">
        <v>390</v>
      </c>
      <c r="M12" t="s">
        <v>435</v>
      </c>
      <c r="N12" t="s">
        <v>436</v>
      </c>
      <c r="O12" t="s">
        <v>437</v>
      </c>
      <c r="P12" t="s">
        <v>438</v>
      </c>
      <c r="Q12" t="s">
        <v>437</v>
      </c>
      <c r="R12" t="s">
        <v>439</v>
      </c>
      <c r="S12" t="s">
        <v>167</v>
      </c>
      <c r="T12" t="s">
        <v>440</v>
      </c>
      <c r="U12" t="s">
        <v>233</v>
      </c>
      <c r="V12" t="s">
        <v>368</v>
      </c>
      <c r="W12" t="s">
        <v>60</v>
      </c>
      <c r="X12" t="s">
        <v>60</v>
      </c>
      <c r="Y12" t="s">
        <v>76</v>
      </c>
      <c r="Z12" t="s">
        <v>56</v>
      </c>
      <c r="AA12" t="s">
        <v>60</v>
      </c>
      <c r="AB12" t="s">
        <v>60</v>
      </c>
      <c r="AC12" t="s">
        <v>60</v>
      </c>
      <c r="AD12" t="s">
        <v>60</v>
      </c>
      <c r="AE12" t="s">
        <v>60</v>
      </c>
      <c r="AF12" t="s">
        <v>60</v>
      </c>
      <c r="AG12" t="s">
        <v>60</v>
      </c>
      <c r="AH12" t="s">
        <v>60</v>
      </c>
      <c r="AI12" t="s">
        <v>133</v>
      </c>
      <c r="AJ12" t="s">
        <v>331</v>
      </c>
      <c r="AK12">
        <v>5</v>
      </c>
      <c r="AL12">
        <v>275</v>
      </c>
      <c r="AM12" t="s">
        <v>57</v>
      </c>
      <c r="AN12" t="s">
        <v>58</v>
      </c>
      <c r="AO12">
        <v>0</v>
      </c>
      <c r="AP12">
        <v>0</v>
      </c>
      <c r="AQ12" t="s">
        <v>60</v>
      </c>
      <c r="AR12" t="s">
        <v>60</v>
      </c>
      <c r="AS12" t="s">
        <v>60</v>
      </c>
      <c r="AT12" t="s">
        <v>60</v>
      </c>
      <c r="AU12" t="s">
        <v>60</v>
      </c>
      <c r="AV12" t="s">
        <v>59</v>
      </c>
      <c r="AW12" t="s">
        <v>485</v>
      </c>
      <c r="AX12" t="s">
        <v>485</v>
      </c>
      <c r="AY12" t="s">
        <v>487</v>
      </c>
      <c r="AZ12" t="s">
        <v>488</v>
      </c>
      <c r="BA12" t="s">
        <v>486</v>
      </c>
      <c r="BB12" t="s">
        <v>489</v>
      </c>
      <c r="BC12" t="s">
        <v>121</v>
      </c>
      <c r="BD12" t="s">
        <v>562</v>
      </c>
      <c r="BE12" t="s">
        <v>60</v>
      </c>
      <c r="BF12" t="s">
        <v>60</v>
      </c>
      <c r="BG12" t="s">
        <v>60</v>
      </c>
      <c r="BH12" t="s">
        <v>60</v>
      </c>
      <c r="BI12" t="s">
        <v>60</v>
      </c>
      <c r="BJ12" t="s">
        <v>60</v>
      </c>
      <c r="BK12" t="s">
        <v>60</v>
      </c>
      <c r="BL12" t="s">
        <v>490</v>
      </c>
      <c r="BM12" t="s">
        <v>25</v>
      </c>
      <c r="BN12" t="s">
        <v>15</v>
      </c>
      <c r="BO12" t="s">
        <v>9</v>
      </c>
      <c r="BP12">
        <v>55</v>
      </c>
      <c r="BQ12">
        <v>101.29</v>
      </c>
      <c r="BR12">
        <v>180.04</v>
      </c>
      <c r="BS12">
        <v>143.13999999999999</v>
      </c>
      <c r="BT12">
        <v>209.18</v>
      </c>
      <c r="BU12">
        <v>9.81</v>
      </c>
      <c r="BV12">
        <v>38.76</v>
      </c>
      <c r="BW12">
        <v>7.67</v>
      </c>
      <c r="BX12">
        <v>0</v>
      </c>
      <c r="BY12">
        <v>0</v>
      </c>
      <c r="BZ12">
        <v>8.7899999999999991</v>
      </c>
      <c r="CA12">
        <v>68.58</v>
      </c>
      <c r="CB12">
        <v>2.79</v>
      </c>
      <c r="CC12">
        <v>275</v>
      </c>
    </row>
    <row r="13" spans="1:81" x14ac:dyDescent="0.25">
      <c r="A13">
        <v>940</v>
      </c>
      <c r="B13" s="2">
        <v>45202</v>
      </c>
      <c r="C13" t="s">
        <v>377</v>
      </c>
      <c r="D13" s="4">
        <v>8</v>
      </c>
      <c r="E13" s="1">
        <v>123.63</v>
      </c>
      <c r="F13" s="1">
        <v>989.04</v>
      </c>
      <c r="G13" t="s">
        <v>172</v>
      </c>
      <c r="H13" t="s">
        <v>28</v>
      </c>
      <c r="I13" t="s">
        <v>45</v>
      </c>
      <c r="J13">
        <v>313.83999999999992</v>
      </c>
      <c r="BM13" t="s">
        <v>18</v>
      </c>
      <c r="BN13" t="s">
        <v>359</v>
      </c>
      <c r="BO13" t="s">
        <v>360</v>
      </c>
      <c r="BP13">
        <v>84.4</v>
      </c>
      <c r="BQ13">
        <v>123.63</v>
      </c>
      <c r="BR13">
        <v>237.48</v>
      </c>
      <c r="BS13">
        <v>206.93</v>
      </c>
      <c r="BT13">
        <v>299.92</v>
      </c>
      <c r="BU13">
        <v>9.81</v>
      </c>
      <c r="BV13">
        <v>38.76</v>
      </c>
      <c r="BW13">
        <v>7.67</v>
      </c>
      <c r="BX13">
        <v>0</v>
      </c>
      <c r="BY13">
        <v>0</v>
      </c>
      <c r="BZ13">
        <v>8.7899999999999991</v>
      </c>
      <c r="CA13">
        <v>68.58</v>
      </c>
      <c r="CB13">
        <v>2.79</v>
      </c>
      <c r="CC13">
        <v>675.2</v>
      </c>
    </row>
    <row r="14" spans="1:81" x14ac:dyDescent="0.25">
      <c r="A14">
        <v>940</v>
      </c>
      <c r="B14" s="2">
        <v>45202</v>
      </c>
      <c r="C14" t="s">
        <v>378</v>
      </c>
      <c r="D14" s="4">
        <v>2</v>
      </c>
      <c r="E14" s="1">
        <v>206.93</v>
      </c>
      <c r="F14" s="1">
        <v>413.86</v>
      </c>
      <c r="G14" t="s">
        <v>172</v>
      </c>
      <c r="H14" t="s">
        <v>28</v>
      </c>
      <c r="I14" t="s">
        <v>45</v>
      </c>
      <c r="J14">
        <v>76.259999999999991</v>
      </c>
      <c r="BM14" t="s">
        <v>19</v>
      </c>
      <c r="BN14" t="s">
        <v>359</v>
      </c>
      <c r="BO14" t="s">
        <v>360</v>
      </c>
      <c r="BP14">
        <v>168.8</v>
      </c>
      <c r="BQ14">
        <v>123.63</v>
      </c>
      <c r="BR14">
        <v>237.48</v>
      </c>
      <c r="BS14">
        <v>206.93</v>
      </c>
      <c r="BT14">
        <v>299.92</v>
      </c>
      <c r="BU14">
        <v>9.81</v>
      </c>
      <c r="BV14">
        <v>38.76</v>
      </c>
      <c r="BW14">
        <v>7.67</v>
      </c>
      <c r="BX14">
        <v>0</v>
      </c>
      <c r="BY14">
        <v>0</v>
      </c>
      <c r="BZ14">
        <v>8.7899999999999991</v>
      </c>
      <c r="CA14">
        <v>68.58</v>
      </c>
      <c r="CB14">
        <v>2.79</v>
      </c>
      <c r="CC14">
        <v>337.6</v>
      </c>
    </row>
    <row r="15" spans="1:81" x14ac:dyDescent="0.25">
      <c r="A15">
        <v>940</v>
      </c>
      <c r="B15" s="2">
        <v>45203</v>
      </c>
      <c r="C15" t="s">
        <v>377</v>
      </c>
      <c r="D15" s="4">
        <v>8</v>
      </c>
      <c r="E15" s="1">
        <v>123.63</v>
      </c>
      <c r="F15" s="1">
        <v>989.04</v>
      </c>
      <c r="G15" t="s">
        <v>172</v>
      </c>
      <c r="H15" t="s">
        <v>28</v>
      </c>
      <c r="I15" t="s">
        <v>45</v>
      </c>
      <c r="J15">
        <v>313.83999999999992</v>
      </c>
      <c r="BM15" t="s">
        <v>18</v>
      </c>
      <c r="BN15" t="s">
        <v>359</v>
      </c>
      <c r="BO15" t="s">
        <v>360</v>
      </c>
      <c r="BP15">
        <v>84.4</v>
      </c>
      <c r="BQ15">
        <v>123.63</v>
      </c>
      <c r="BR15">
        <v>237.48</v>
      </c>
      <c r="BS15">
        <v>206.93</v>
      </c>
      <c r="BT15">
        <v>299.92</v>
      </c>
      <c r="BU15">
        <v>9.81</v>
      </c>
      <c r="BV15">
        <v>38.76</v>
      </c>
      <c r="BW15">
        <v>7.67</v>
      </c>
      <c r="BX15">
        <v>0</v>
      </c>
      <c r="BY15">
        <v>0</v>
      </c>
      <c r="BZ15">
        <v>8.7899999999999991</v>
      </c>
      <c r="CA15">
        <v>68.58</v>
      </c>
      <c r="CB15">
        <v>2.79</v>
      </c>
      <c r="CC15">
        <v>675.2</v>
      </c>
    </row>
    <row r="16" spans="1:81" x14ac:dyDescent="0.25">
      <c r="A16">
        <v>940</v>
      </c>
      <c r="B16" s="2">
        <v>45203</v>
      </c>
      <c r="C16" t="s">
        <v>378</v>
      </c>
      <c r="D16" s="4">
        <v>2</v>
      </c>
      <c r="E16" s="1">
        <v>206.93</v>
      </c>
      <c r="F16" s="1">
        <v>413.86</v>
      </c>
      <c r="G16" t="s">
        <v>172</v>
      </c>
      <c r="H16" t="s">
        <v>28</v>
      </c>
      <c r="I16" t="s">
        <v>45</v>
      </c>
      <c r="J16">
        <v>76.259999999999991</v>
      </c>
      <c r="BM16" t="s">
        <v>19</v>
      </c>
      <c r="BN16" t="s">
        <v>359</v>
      </c>
      <c r="BO16" t="s">
        <v>360</v>
      </c>
      <c r="BP16">
        <v>168.8</v>
      </c>
      <c r="BQ16">
        <v>123.63</v>
      </c>
      <c r="BR16">
        <v>237.48</v>
      </c>
      <c r="BS16">
        <v>206.93</v>
      </c>
      <c r="BT16">
        <v>299.92</v>
      </c>
      <c r="BU16">
        <v>9.81</v>
      </c>
      <c r="BV16">
        <v>38.76</v>
      </c>
      <c r="BW16">
        <v>7.67</v>
      </c>
      <c r="BX16">
        <v>0</v>
      </c>
      <c r="BY16">
        <v>0</v>
      </c>
      <c r="BZ16">
        <v>8.7899999999999991</v>
      </c>
      <c r="CA16">
        <v>68.58</v>
      </c>
      <c r="CB16">
        <v>2.79</v>
      </c>
      <c r="CC16">
        <v>337.6</v>
      </c>
    </row>
    <row r="17" spans="1:81" x14ac:dyDescent="0.25">
      <c r="A17">
        <v>940</v>
      </c>
      <c r="B17" s="2">
        <v>45204</v>
      </c>
      <c r="C17" t="s">
        <v>377</v>
      </c>
      <c r="D17" s="4">
        <v>8</v>
      </c>
      <c r="E17" s="1">
        <v>123.63</v>
      </c>
      <c r="F17" s="1">
        <v>989.04</v>
      </c>
      <c r="G17" t="s">
        <v>172</v>
      </c>
      <c r="H17" t="s">
        <v>28</v>
      </c>
      <c r="I17" t="s">
        <v>45</v>
      </c>
      <c r="J17">
        <v>313.83999999999992</v>
      </c>
      <c r="BM17" t="s">
        <v>18</v>
      </c>
      <c r="BN17" t="s">
        <v>359</v>
      </c>
      <c r="BO17" t="s">
        <v>360</v>
      </c>
      <c r="BP17">
        <v>84.4</v>
      </c>
      <c r="BQ17">
        <v>123.63</v>
      </c>
      <c r="BR17">
        <v>237.48</v>
      </c>
      <c r="BS17">
        <v>206.93</v>
      </c>
      <c r="BT17">
        <v>299.92</v>
      </c>
      <c r="BU17">
        <v>9.81</v>
      </c>
      <c r="BV17">
        <v>38.76</v>
      </c>
      <c r="BW17">
        <v>7.67</v>
      </c>
      <c r="BX17">
        <v>0</v>
      </c>
      <c r="BY17">
        <v>0</v>
      </c>
      <c r="BZ17">
        <v>8.7899999999999991</v>
      </c>
      <c r="CA17">
        <v>68.58</v>
      </c>
      <c r="CB17">
        <v>2.79</v>
      </c>
      <c r="CC17">
        <v>675.2</v>
      </c>
    </row>
    <row r="18" spans="1:81" x14ac:dyDescent="0.25">
      <c r="A18">
        <v>940</v>
      </c>
      <c r="B18" s="2">
        <v>45204</v>
      </c>
      <c r="C18" t="s">
        <v>378</v>
      </c>
      <c r="D18" s="4">
        <v>2</v>
      </c>
      <c r="E18" s="1">
        <v>206.93</v>
      </c>
      <c r="F18" s="1">
        <v>413.86</v>
      </c>
      <c r="G18" t="s">
        <v>172</v>
      </c>
      <c r="H18" t="s">
        <v>28</v>
      </c>
      <c r="I18" t="s">
        <v>45</v>
      </c>
      <c r="J18">
        <v>76.259999999999991</v>
      </c>
      <c r="BM18" t="s">
        <v>19</v>
      </c>
      <c r="BN18" t="s">
        <v>359</v>
      </c>
      <c r="BO18" t="s">
        <v>360</v>
      </c>
      <c r="BP18">
        <v>168.8</v>
      </c>
      <c r="BQ18">
        <v>123.63</v>
      </c>
      <c r="BR18">
        <v>237.48</v>
      </c>
      <c r="BS18">
        <v>206.93</v>
      </c>
      <c r="BT18">
        <v>299.92</v>
      </c>
      <c r="BU18">
        <v>9.81</v>
      </c>
      <c r="BV18">
        <v>38.76</v>
      </c>
      <c r="BW18">
        <v>7.67</v>
      </c>
      <c r="BX18">
        <v>0</v>
      </c>
      <c r="BY18">
        <v>0</v>
      </c>
      <c r="BZ18">
        <v>8.7899999999999991</v>
      </c>
      <c r="CA18">
        <v>68.58</v>
      </c>
      <c r="CB18">
        <v>2.79</v>
      </c>
      <c r="CC18">
        <v>337.6</v>
      </c>
    </row>
    <row r="19" spans="1:81" x14ac:dyDescent="0.25">
      <c r="A19">
        <v>940</v>
      </c>
      <c r="B19" s="2">
        <v>45205</v>
      </c>
      <c r="C19" t="s">
        <v>377</v>
      </c>
      <c r="D19" s="4">
        <v>8</v>
      </c>
      <c r="E19" s="1">
        <v>123.63</v>
      </c>
      <c r="F19" s="1">
        <v>989.04</v>
      </c>
      <c r="G19" t="s">
        <v>172</v>
      </c>
      <c r="H19" t="s">
        <v>28</v>
      </c>
      <c r="I19" t="s">
        <v>45</v>
      </c>
      <c r="J19">
        <v>313.83999999999992</v>
      </c>
      <c r="BM19" t="s">
        <v>18</v>
      </c>
      <c r="BN19" t="s">
        <v>359</v>
      </c>
      <c r="BO19" t="s">
        <v>360</v>
      </c>
      <c r="BP19">
        <v>84.4</v>
      </c>
      <c r="BQ19">
        <v>123.63</v>
      </c>
      <c r="BR19">
        <v>237.48</v>
      </c>
      <c r="BS19">
        <v>206.93</v>
      </c>
      <c r="BT19">
        <v>299.92</v>
      </c>
      <c r="BU19">
        <v>9.81</v>
      </c>
      <c r="BV19">
        <v>38.76</v>
      </c>
      <c r="BW19">
        <v>7.67</v>
      </c>
      <c r="BX19">
        <v>0</v>
      </c>
      <c r="BY19">
        <v>0</v>
      </c>
      <c r="BZ19">
        <v>8.7899999999999991</v>
      </c>
      <c r="CA19">
        <v>68.58</v>
      </c>
      <c r="CB19">
        <v>2.79</v>
      </c>
      <c r="CC19">
        <v>675.2</v>
      </c>
    </row>
    <row r="20" spans="1:81" x14ac:dyDescent="0.25">
      <c r="A20">
        <v>940</v>
      </c>
      <c r="B20" s="2">
        <v>45205</v>
      </c>
      <c r="C20" t="s">
        <v>378</v>
      </c>
      <c r="D20" s="4">
        <v>2</v>
      </c>
      <c r="E20" s="1">
        <v>206.93</v>
      </c>
      <c r="F20" s="1">
        <v>413.86</v>
      </c>
      <c r="G20" t="s">
        <v>172</v>
      </c>
      <c r="H20" t="s">
        <v>28</v>
      </c>
      <c r="I20" t="s">
        <v>45</v>
      </c>
      <c r="J20">
        <v>76.259999999999991</v>
      </c>
      <c r="BM20" t="s">
        <v>19</v>
      </c>
      <c r="BN20" t="s">
        <v>359</v>
      </c>
      <c r="BO20" t="s">
        <v>360</v>
      </c>
      <c r="BP20">
        <v>168.8</v>
      </c>
      <c r="BQ20">
        <v>123.63</v>
      </c>
      <c r="BR20">
        <v>237.48</v>
      </c>
      <c r="BS20">
        <v>206.93</v>
      </c>
      <c r="BT20">
        <v>299.92</v>
      </c>
      <c r="BU20">
        <v>9.81</v>
      </c>
      <c r="BV20">
        <v>38.76</v>
      </c>
      <c r="BW20">
        <v>7.67</v>
      </c>
      <c r="BX20">
        <v>0</v>
      </c>
      <c r="BY20">
        <v>0</v>
      </c>
      <c r="BZ20">
        <v>8.7899999999999991</v>
      </c>
      <c r="CA20">
        <v>68.58</v>
      </c>
      <c r="CB20">
        <v>2.79</v>
      </c>
      <c r="CC20">
        <v>337.6</v>
      </c>
    </row>
    <row r="21" spans="1:81" x14ac:dyDescent="0.25">
      <c r="A21">
        <v>940</v>
      </c>
      <c r="B21" s="2">
        <v>45206</v>
      </c>
      <c r="C21" t="s">
        <v>378</v>
      </c>
      <c r="D21" s="4">
        <v>6.5</v>
      </c>
      <c r="E21" s="1">
        <v>206.93</v>
      </c>
      <c r="F21" s="1">
        <v>1345.0450000000001</v>
      </c>
      <c r="G21" t="s">
        <v>172</v>
      </c>
      <c r="H21" t="s">
        <v>28</v>
      </c>
      <c r="I21" t="s">
        <v>45</v>
      </c>
      <c r="J21">
        <v>247.84500000000003</v>
      </c>
      <c r="BM21" t="s">
        <v>19</v>
      </c>
      <c r="BN21" t="s">
        <v>359</v>
      </c>
      <c r="BO21" t="s">
        <v>360</v>
      </c>
      <c r="BP21">
        <v>168.8</v>
      </c>
      <c r="BQ21">
        <v>123.63</v>
      </c>
      <c r="BR21">
        <v>237.48</v>
      </c>
      <c r="BS21">
        <v>206.93</v>
      </c>
      <c r="BT21">
        <v>299.92</v>
      </c>
      <c r="BU21">
        <v>9.81</v>
      </c>
      <c r="BV21">
        <v>38.76</v>
      </c>
      <c r="BW21">
        <v>7.67</v>
      </c>
      <c r="BX21">
        <v>0</v>
      </c>
      <c r="BY21">
        <v>0</v>
      </c>
      <c r="BZ21">
        <v>8.7899999999999991</v>
      </c>
      <c r="CA21">
        <v>68.58</v>
      </c>
      <c r="CB21">
        <v>2.79</v>
      </c>
      <c r="CC21">
        <v>1097.2</v>
      </c>
    </row>
    <row r="22" spans="1:81" x14ac:dyDescent="0.25">
      <c r="A22">
        <v>940</v>
      </c>
      <c r="B22" s="2">
        <v>45207</v>
      </c>
      <c r="C22" t="s">
        <v>379</v>
      </c>
      <c r="D22" s="4">
        <v>5</v>
      </c>
      <c r="E22" s="1">
        <v>38.76</v>
      </c>
      <c r="F22" s="1">
        <v>193.79999999999998</v>
      </c>
      <c r="G22" t="s">
        <v>172</v>
      </c>
      <c r="H22" t="s">
        <v>28</v>
      </c>
      <c r="I22" t="s">
        <v>45</v>
      </c>
      <c r="J22">
        <v>13.349999999999994</v>
      </c>
      <c r="K22" t="s">
        <v>135</v>
      </c>
      <c r="L22" t="s">
        <v>326</v>
      </c>
      <c r="M22" t="s">
        <v>447</v>
      </c>
      <c r="N22" t="s">
        <v>448</v>
      </c>
      <c r="O22" t="s">
        <v>60</v>
      </c>
      <c r="P22" t="s">
        <v>60</v>
      </c>
      <c r="Q22" t="s">
        <v>60</v>
      </c>
      <c r="R22" t="s">
        <v>60</v>
      </c>
      <c r="S22" t="s">
        <v>60</v>
      </c>
      <c r="T22" t="s">
        <v>60</v>
      </c>
      <c r="U22" t="s">
        <v>233</v>
      </c>
      <c r="V22" t="s">
        <v>328</v>
      </c>
      <c r="W22" t="s">
        <v>60</v>
      </c>
      <c r="X22" t="s">
        <v>60</v>
      </c>
      <c r="Y22" t="s">
        <v>55</v>
      </c>
      <c r="Z22" t="s">
        <v>56</v>
      </c>
      <c r="AA22" t="s">
        <v>60</v>
      </c>
      <c r="AB22" t="s">
        <v>60</v>
      </c>
      <c r="AC22" t="s">
        <v>60</v>
      </c>
      <c r="AD22" t="s">
        <v>60</v>
      </c>
      <c r="AE22" t="s">
        <v>60</v>
      </c>
      <c r="AF22" t="s">
        <v>60</v>
      </c>
      <c r="AG22" t="s">
        <v>447</v>
      </c>
      <c r="AH22" t="s">
        <v>449</v>
      </c>
      <c r="AI22">
        <v>5</v>
      </c>
      <c r="AJ22">
        <v>180.45</v>
      </c>
      <c r="AK22" t="s">
        <v>431</v>
      </c>
      <c r="AL22" t="s">
        <v>432</v>
      </c>
      <c r="AM22" t="s">
        <v>57</v>
      </c>
      <c r="AN22" t="s">
        <v>58</v>
      </c>
      <c r="AO22" t="s">
        <v>60</v>
      </c>
      <c r="AP22" t="s">
        <v>60</v>
      </c>
      <c r="AQ22">
        <v>0</v>
      </c>
      <c r="AR22">
        <v>0</v>
      </c>
      <c r="AS22" t="s">
        <v>376</v>
      </c>
      <c r="AT22" t="s">
        <v>60</v>
      </c>
      <c r="AU22" t="s">
        <v>60</v>
      </c>
      <c r="AV22" t="s">
        <v>59</v>
      </c>
      <c r="AW22" t="s">
        <v>505</v>
      </c>
      <c r="AX22" t="s">
        <v>506</v>
      </c>
      <c r="AY22" t="s">
        <v>508</v>
      </c>
      <c r="AZ22" t="s">
        <v>509</v>
      </c>
      <c r="BA22" t="s">
        <v>507</v>
      </c>
      <c r="BB22" t="s">
        <v>510</v>
      </c>
      <c r="BL22" t="s">
        <v>511</v>
      </c>
      <c r="BM22" t="s">
        <v>13</v>
      </c>
      <c r="BN22" t="s">
        <v>369</v>
      </c>
      <c r="BO22" t="s">
        <v>360</v>
      </c>
      <c r="BP22">
        <v>36.089999999999996</v>
      </c>
      <c r="BQ22">
        <v>123.63</v>
      </c>
      <c r="BR22">
        <v>237.48</v>
      </c>
      <c r="BS22">
        <v>206.93</v>
      </c>
      <c r="BT22">
        <v>299.92</v>
      </c>
      <c r="BU22">
        <v>9.81</v>
      </c>
      <c r="BV22">
        <v>38.76</v>
      </c>
      <c r="BW22">
        <v>7.67</v>
      </c>
      <c r="BX22">
        <v>0</v>
      </c>
      <c r="BY22">
        <v>0</v>
      </c>
      <c r="BZ22">
        <v>8.7899999999999991</v>
      </c>
      <c r="CA22">
        <v>68.58</v>
      </c>
      <c r="CB22">
        <v>2.79</v>
      </c>
      <c r="CC22">
        <v>180.45</v>
      </c>
    </row>
    <row r="23" spans="1:81" x14ac:dyDescent="0.25">
      <c r="A23">
        <v>940</v>
      </c>
      <c r="B23" s="2">
        <v>45207</v>
      </c>
      <c r="C23" t="s">
        <v>380</v>
      </c>
      <c r="D23" s="4">
        <v>14.5</v>
      </c>
      <c r="E23" s="1">
        <v>2.79</v>
      </c>
      <c r="F23" s="1">
        <v>40.454999999999998</v>
      </c>
      <c r="G23" t="s">
        <v>172</v>
      </c>
      <c r="H23" t="s">
        <v>28</v>
      </c>
      <c r="I23" t="s">
        <v>45</v>
      </c>
      <c r="J23">
        <v>4.4949999999999974</v>
      </c>
      <c r="K23" t="s">
        <v>135</v>
      </c>
      <c r="L23" t="s">
        <v>326</v>
      </c>
      <c r="M23" t="s">
        <v>447</v>
      </c>
      <c r="N23" t="s">
        <v>448</v>
      </c>
      <c r="O23" t="s">
        <v>60</v>
      </c>
      <c r="P23" t="s">
        <v>60</v>
      </c>
      <c r="Q23" t="s">
        <v>60</v>
      </c>
      <c r="R23" t="s">
        <v>60</v>
      </c>
      <c r="S23" t="s">
        <v>60</v>
      </c>
      <c r="T23" t="s">
        <v>60</v>
      </c>
      <c r="U23" t="s">
        <v>233</v>
      </c>
      <c r="V23" t="s">
        <v>328</v>
      </c>
      <c r="W23" t="s">
        <v>60</v>
      </c>
      <c r="X23" t="s">
        <v>60</v>
      </c>
      <c r="Y23" t="s">
        <v>55</v>
      </c>
      <c r="Z23" t="s">
        <v>56</v>
      </c>
      <c r="AA23" t="s">
        <v>60</v>
      </c>
      <c r="AB23" t="s">
        <v>60</v>
      </c>
      <c r="AC23" t="s">
        <v>60</v>
      </c>
      <c r="AD23" t="s">
        <v>60</v>
      </c>
      <c r="AE23" t="s">
        <v>60</v>
      </c>
      <c r="AF23" t="s">
        <v>60</v>
      </c>
      <c r="AI23" t="s">
        <v>431</v>
      </c>
      <c r="AJ23" t="s">
        <v>433</v>
      </c>
      <c r="AK23" t="s">
        <v>431</v>
      </c>
      <c r="AL23" t="s">
        <v>432</v>
      </c>
      <c r="AM23" t="s">
        <v>57</v>
      </c>
      <c r="AN23" t="s">
        <v>58</v>
      </c>
      <c r="AO23" t="s">
        <v>60</v>
      </c>
      <c r="AP23" t="s">
        <v>60</v>
      </c>
      <c r="AQ23" t="s">
        <v>60</v>
      </c>
      <c r="AR23" t="s">
        <v>60</v>
      </c>
      <c r="AV23" t="s">
        <v>59</v>
      </c>
      <c r="BB23" t="s">
        <v>510</v>
      </c>
      <c r="BL23" t="s">
        <v>511</v>
      </c>
      <c r="BM23" t="s">
        <v>14</v>
      </c>
      <c r="BN23" t="s">
        <v>369</v>
      </c>
      <c r="BO23" t="s">
        <v>360</v>
      </c>
      <c r="BP23">
        <v>2.48</v>
      </c>
      <c r="BQ23">
        <v>123.63</v>
      </c>
      <c r="BR23">
        <v>237.48</v>
      </c>
      <c r="BS23">
        <v>206.93</v>
      </c>
      <c r="BT23">
        <v>299.92</v>
      </c>
      <c r="BU23">
        <v>9.81</v>
      </c>
      <c r="BV23">
        <v>38.76</v>
      </c>
      <c r="BW23">
        <v>7.67</v>
      </c>
      <c r="BX23">
        <v>0</v>
      </c>
      <c r="BY23">
        <v>0</v>
      </c>
      <c r="BZ23">
        <v>8.7899999999999991</v>
      </c>
      <c r="CA23">
        <v>68.58</v>
      </c>
      <c r="CB23">
        <v>2.79</v>
      </c>
      <c r="CC23">
        <v>35.96</v>
      </c>
    </row>
    <row r="24" spans="1:81" x14ac:dyDescent="0.25">
      <c r="A24">
        <v>940</v>
      </c>
      <c r="B24" s="2">
        <v>45207</v>
      </c>
      <c r="C24" t="s">
        <v>381</v>
      </c>
      <c r="D24" s="4">
        <v>46.5</v>
      </c>
      <c r="E24" s="1">
        <v>9.81</v>
      </c>
      <c r="F24" s="1">
        <v>456.16500000000002</v>
      </c>
      <c r="G24" t="s">
        <v>172</v>
      </c>
      <c r="H24" t="s">
        <v>28</v>
      </c>
      <c r="I24" t="s">
        <v>45</v>
      </c>
      <c r="J24">
        <v>98.115000000000009</v>
      </c>
      <c r="K24" t="s">
        <v>135</v>
      </c>
      <c r="L24" t="s">
        <v>326</v>
      </c>
      <c r="M24" t="s">
        <v>447</v>
      </c>
      <c r="N24" t="s">
        <v>448</v>
      </c>
      <c r="O24" t="s">
        <v>60</v>
      </c>
      <c r="P24" t="s">
        <v>60</v>
      </c>
      <c r="Q24" t="s">
        <v>60</v>
      </c>
      <c r="R24" t="s">
        <v>60</v>
      </c>
      <c r="S24" t="s">
        <v>60</v>
      </c>
      <c r="T24" t="s">
        <v>60</v>
      </c>
      <c r="U24" t="s">
        <v>233</v>
      </c>
      <c r="V24" t="s">
        <v>328</v>
      </c>
      <c r="W24" t="s">
        <v>60</v>
      </c>
      <c r="X24" t="s">
        <v>60</v>
      </c>
      <c r="Y24" t="s">
        <v>55</v>
      </c>
      <c r="Z24" t="s">
        <v>56</v>
      </c>
      <c r="AA24" t="s">
        <v>60</v>
      </c>
      <c r="AB24" t="s">
        <v>60</v>
      </c>
      <c r="AC24" t="s">
        <v>60</v>
      </c>
      <c r="AD24" t="s">
        <v>60</v>
      </c>
      <c r="AE24" t="s">
        <v>60</v>
      </c>
      <c r="AF24" t="s">
        <v>60</v>
      </c>
      <c r="AG24" t="s">
        <v>447</v>
      </c>
      <c r="AH24" t="s">
        <v>449</v>
      </c>
      <c r="AI24" t="s">
        <v>431</v>
      </c>
      <c r="AJ24" t="s">
        <v>433</v>
      </c>
      <c r="AK24" t="s">
        <v>431</v>
      </c>
      <c r="AL24" t="s">
        <v>432</v>
      </c>
      <c r="AM24" t="s">
        <v>57</v>
      </c>
      <c r="AN24" t="s">
        <v>58</v>
      </c>
      <c r="AV24" t="s">
        <v>59</v>
      </c>
      <c r="BM24" t="s">
        <v>22</v>
      </c>
      <c r="BN24" t="s">
        <v>369</v>
      </c>
      <c r="BO24" t="s">
        <v>360</v>
      </c>
      <c r="BP24">
        <v>7.7</v>
      </c>
      <c r="BQ24">
        <v>123.63</v>
      </c>
      <c r="BR24">
        <v>237.48</v>
      </c>
      <c r="BS24">
        <v>206.93</v>
      </c>
      <c r="BT24">
        <v>299.92</v>
      </c>
      <c r="BU24">
        <v>9.81</v>
      </c>
      <c r="BV24">
        <v>38.76</v>
      </c>
      <c r="BW24">
        <v>7.67</v>
      </c>
      <c r="BX24">
        <v>0</v>
      </c>
      <c r="BY24">
        <v>0</v>
      </c>
      <c r="BZ24">
        <v>8.7899999999999991</v>
      </c>
      <c r="CA24">
        <v>68.58</v>
      </c>
      <c r="CB24">
        <v>2.79</v>
      </c>
      <c r="CC24">
        <v>358.05</v>
      </c>
    </row>
    <row r="25" spans="1:81" x14ac:dyDescent="0.25">
      <c r="A25">
        <v>940</v>
      </c>
      <c r="B25" s="2">
        <v>45207</v>
      </c>
      <c r="C25" t="s">
        <v>382</v>
      </c>
      <c r="D25" s="4">
        <v>5</v>
      </c>
      <c r="E25" s="1">
        <v>68.58</v>
      </c>
      <c r="F25" s="1">
        <v>342.9</v>
      </c>
      <c r="G25" t="s">
        <v>172</v>
      </c>
      <c r="H25" t="s">
        <v>28</v>
      </c>
      <c r="I25" t="s">
        <v>45</v>
      </c>
      <c r="J25">
        <v>67.899999999999977</v>
      </c>
      <c r="K25" t="s">
        <v>135</v>
      </c>
      <c r="L25" t="s">
        <v>326</v>
      </c>
      <c r="M25" t="s">
        <v>447</v>
      </c>
      <c r="N25" t="s">
        <v>448</v>
      </c>
      <c r="O25" t="s">
        <v>60</v>
      </c>
      <c r="P25" t="s">
        <v>60</v>
      </c>
      <c r="Q25" t="s">
        <v>60</v>
      </c>
      <c r="R25" t="s">
        <v>60</v>
      </c>
      <c r="S25" t="s">
        <v>60</v>
      </c>
      <c r="T25" t="s">
        <v>60</v>
      </c>
      <c r="U25" t="s">
        <v>233</v>
      </c>
      <c r="V25" t="s">
        <v>328</v>
      </c>
      <c r="W25" t="s">
        <v>60</v>
      </c>
      <c r="X25" t="s">
        <v>60</v>
      </c>
      <c r="Y25" t="s">
        <v>55</v>
      </c>
      <c r="Z25" t="s">
        <v>56</v>
      </c>
      <c r="AA25" t="s">
        <v>60</v>
      </c>
      <c r="AB25" t="s">
        <v>60</v>
      </c>
      <c r="AC25" t="s">
        <v>60</v>
      </c>
      <c r="AD25" t="s">
        <v>60</v>
      </c>
      <c r="AE25" t="s">
        <v>60</v>
      </c>
      <c r="AF25" t="s">
        <v>60</v>
      </c>
      <c r="AG25" t="s">
        <v>447</v>
      </c>
      <c r="AH25" t="s">
        <v>449</v>
      </c>
      <c r="AI25" t="s">
        <v>431</v>
      </c>
      <c r="AJ25" t="s">
        <v>433</v>
      </c>
      <c r="AK25">
        <v>5</v>
      </c>
      <c r="AL25">
        <v>275</v>
      </c>
      <c r="AM25" t="s">
        <v>57</v>
      </c>
      <c r="AN25" t="s">
        <v>58</v>
      </c>
      <c r="AO25">
        <v>0</v>
      </c>
      <c r="AP25">
        <v>0</v>
      </c>
      <c r="AQ25" t="s">
        <v>60</v>
      </c>
      <c r="AR25" t="s">
        <v>60</v>
      </c>
      <c r="AS25" t="s">
        <v>376</v>
      </c>
      <c r="AT25" t="s">
        <v>60</v>
      </c>
      <c r="AU25" t="s">
        <v>60</v>
      </c>
      <c r="AV25" t="s">
        <v>59</v>
      </c>
      <c r="AW25" t="s">
        <v>505</v>
      </c>
      <c r="AX25" t="s">
        <v>506</v>
      </c>
      <c r="AY25" t="s">
        <v>508</v>
      </c>
      <c r="AZ25" t="s">
        <v>509</v>
      </c>
      <c r="BA25" t="s">
        <v>507</v>
      </c>
      <c r="BB25" t="s">
        <v>510</v>
      </c>
      <c r="BC25" t="s">
        <v>121</v>
      </c>
      <c r="BD25" t="s">
        <v>564</v>
      </c>
      <c r="BE25" t="s">
        <v>60</v>
      </c>
      <c r="BF25" t="s">
        <v>60</v>
      </c>
      <c r="BG25" t="s">
        <v>60</v>
      </c>
      <c r="BH25" t="s">
        <v>60</v>
      </c>
      <c r="BI25" t="s">
        <v>60</v>
      </c>
      <c r="BJ25" t="s">
        <v>60</v>
      </c>
      <c r="BK25" t="s">
        <v>60</v>
      </c>
      <c r="BL25" t="s">
        <v>511</v>
      </c>
      <c r="BM25" t="s">
        <v>25</v>
      </c>
      <c r="BN25" t="s">
        <v>369</v>
      </c>
      <c r="BO25" t="s">
        <v>360</v>
      </c>
      <c r="BP25">
        <v>55</v>
      </c>
      <c r="BQ25">
        <v>123.63</v>
      </c>
      <c r="BR25">
        <v>237.48</v>
      </c>
      <c r="BS25">
        <v>206.93</v>
      </c>
      <c r="BT25">
        <v>299.92</v>
      </c>
      <c r="BU25">
        <v>9.81</v>
      </c>
      <c r="BV25">
        <v>38.76</v>
      </c>
      <c r="BW25">
        <v>7.67</v>
      </c>
      <c r="BX25">
        <v>0</v>
      </c>
      <c r="BY25">
        <v>0</v>
      </c>
      <c r="BZ25">
        <v>8.7899999999999991</v>
      </c>
      <c r="CA25">
        <v>68.58</v>
      </c>
      <c r="CB25">
        <v>2.79</v>
      </c>
      <c r="CC25">
        <v>275</v>
      </c>
    </row>
    <row r="26" spans="1:81" x14ac:dyDescent="0.25">
      <c r="A26">
        <v>776</v>
      </c>
      <c r="B26" s="2">
        <v>45202</v>
      </c>
      <c r="C26" t="s">
        <v>410</v>
      </c>
      <c r="D26" s="4">
        <v>8</v>
      </c>
      <c r="E26" s="1">
        <v>123.63</v>
      </c>
      <c r="F26" s="1">
        <v>989.04</v>
      </c>
      <c r="G26" t="s">
        <v>172</v>
      </c>
      <c r="H26" t="s">
        <v>28</v>
      </c>
      <c r="I26" t="s">
        <v>45</v>
      </c>
      <c r="J26">
        <v>313.83999999999992</v>
      </c>
      <c r="BM26" t="s">
        <v>18</v>
      </c>
      <c r="BN26" t="s">
        <v>149</v>
      </c>
      <c r="BO26" t="s">
        <v>150</v>
      </c>
      <c r="BP26">
        <v>84.4</v>
      </c>
      <c r="BQ26">
        <v>123.63</v>
      </c>
      <c r="BR26">
        <v>237.48</v>
      </c>
      <c r="BS26">
        <v>206.93</v>
      </c>
      <c r="BT26">
        <v>299.92</v>
      </c>
      <c r="BU26">
        <v>9.81</v>
      </c>
      <c r="BV26">
        <v>38.76</v>
      </c>
      <c r="BW26">
        <v>7.67</v>
      </c>
      <c r="BX26">
        <v>0</v>
      </c>
      <c r="BY26">
        <v>0</v>
      </c>
      <c r="BZ26">
        <v>8.7899999999999991</v>
      </c>
      <c r="CA26">
        <v>68.58</v>
      </c>
      <c r="CB26">
        <v>2.79</v>
      </c>
      <c r="CC26">
        <v>675.2</v>
      </c>
    </row>
    <row r="27" spans="1:81" x14ac:dyDescent="0.25">
      <c r="A27">
        <v>776</v>
      </c>
      <c r="B27" s="2">
        <v>45202</v>
      </c>
      <c r="C27" t="s">
        <v>289</v>
      </c>
      <c r="D27" s="4">
        <v>3</v>
      </c>
      <c r="E27" s="1">
        <v>206.93</v>
      </c>
      <c r="F27" s="1">
        <v>620.79</v>
      </c>
      <c r="G27" t="s">
        <v>172</v>
      </c>
      <c r="H27" t="s">
        <v>28</v>
      </c>
      <c r="I27" t="s">
        <v>45</v>
      </c>
      <c r="J27">
        <v>114.38999999999999</v>
      </c>
      <c r="BM27" t="s">
        <v>19</v>
      </c>
      <c r="BN27" t="s">
        <v>149</v>
      </c>
      <c r="BO27" t="s">
        <v>150</v>
      </c>
      <c r="BP27">
        <v>168.8</v>
      </c>
      <c r="BQ27">
        <v>123.63</v>
      </c>
      <c r="BR27">
        <v>237.48</v>
      </c>
      <c r="BS27">
        <v>206.93</v>
      </c>
      <c r="BT27">
        <v>299.92</v>
      </c>
      <c r="BU27">
        <v>9.81</v>
      </c>
      <c r="BV27">
        <v>38.76</v>
      </c>
      <c r="BW27">
        <v>7.67</v>
      </c>
      <c r="BX27">
        <v>0</v>
      </c>
      <c r="BY27">
        <v>0</v>
      </c>
      <c r="BZ27">
        <v>8.7899999999999991</v>
      </c>
      <c r="CA27">
        <v>68.58</v>
      </c>
      <c r="CB27">
        <v>2.79</v>
      </c>
      <c r="CC27">
        <v>506.4</v>
      </c>
    </row>
    <row r="28" spans="1:81" x14ac:dyDescent="0.25">
      <c r="A28">
        <v>776</v>
      </c>
      <c r="B28" s="2">
        <v>45203</v>
      </c>
      <c r="C28" t="s">
        <v>410</v>
      </c>
      <c r="D28" s="4">
        <v>8</v>
      </c>
      <c r="E28" s="1">
        <v>123.63</v>
      </c>
      <c r="F28" s="1">
        <v>989.04</v>
      </c>
      <c r="G28" t="s">
        <v>172</v>
      </c>
      <c r="H28" t="s">
        <v>28</v>
      </c>
      <c r="I28" t="s">
        <v>45</v>
      </c>
      <c r="J28">
        <v>313.83999999999992</v>
      </c>
      <c r="BM28" t="s">
        <v>18</v>
      </c>
      <c r="BN28" t="s">
        <v>149</v>
      </c>
      <c r="BO28" t="s">
        <v>150</v>
      </c>
      <c r="BP28">
        <v>84.4</v>
      </c>
      <c r="BQ28">
        <v>123.63</v>
      </c>
      <c r="BR28">
        <v>237.48</v>
      </c>
      <c r="BS28">
        <v>206.93</v>
      </c>
      <c r="BT28">
        <v>299.92</v>
      </c>
      <c r="BU28">
        <v>9.81</v>
      </c>
      <c r="BV28">
        <v>38.76</v>
      </c>
      <c r="BW28">
        <v>7.67</v>
      </c>
      <c r="BX28">
        <v>0</v>
      </c>
      <c r="BY28">
        <v>0</v>
      </c>
      <c r="BZ28">
        <v>8.7899999999999991</v>
      </c>
      <c r="CA28">
        <v>68.58</v>
      </c>
      <c r="CB28">
        <v>2.79</v>
      </c>
      <c r="CC28">
        <v>675.2</v>
      </c>
    </row>
    <row r="29" spans="1:81" x14ac:dyDescent="0.25">
      <c r="A29">
        <v>776</v>
      </c>
      <c r="B29" s="2">
        <v>45203</v>
      </c>
      <c r="C29" t="s">
        <v>289</v>
      </c>
      <c r="D29" s="4">
        <v>3</v>
      </c>
      <c r="E29" s="1">
        <v>206.93</v>
      </c>
      <c r="F29" s="1">
        <v>620.79</v>
      </c>
      <c r="G29" t="s">
        <v>172</v>
      </c>
      <c r="H29" t="s">
        <v>28</v>
      </c>
      <c r="I29" t="s">
        <v>45</v>
      </c>
      <c r="J29">
        <v>114.38999999999999</v>
      </c>
      <c r="BM29" t="s">
        <v>19</v>
      </c>
      <c r="BN29" t="s">
        <v>149</v>
      </c>
      <c r="BO29" t="s">
        <v>150</v>
      </c>
      <c r="BP29">
        <v>168.8</v>
      </c>
      <c r="BQ29">
        <v>123.63</v>
      </c>
      <c r="BR29">
        <v>237.48</v>
      </c>
      <c r="BS29">
        <v>206.93</v>
      </c>
      <c r="BT29">
        <v>299.92</v>
      </c>
      <c r="BU29">
        <v>9.81</v>
      </c>
      <c r="BV29">
        <v>38.76</v>
      </c>
      <c r="BW29">
        <v>7.67</v>
      </c>
      <c r="BX29">
        <v>0</v>
      </c>
      <c r="BY29">
        <v>0</v>
      </c>
      <c r="BZ29">
        <v>8.7899999999999991</v>
      </c>
      <c r="CA29">
        <v>68.58</v>
      </c>
      <c r="CB29">
        <v>2.79</v>
      </c>
      <c r="CC29">
        <v>506.4</v>
      </c>
    </row>
    <row r="30" spans="1:81" x14ac:dyDescent="0.25">
      <c r="A30">
        <v>776</v>
      </c>
      <c r="B30" s="2">
        <v>45204</v>
      </c>
      <c r="C30" t="s">
        <v>410</v>
      </c>
      <c r="D30" s="4">
        <v>8</v>
      </c>
      <c r="E30" s="1">
        <v>123.63</v>
      </c>
      <c r="F30" s="1">
        <v>989.04</v>
      </c>
      <c r="G30" t="s">
        <v>172</v>
      </c>
      <c r="H30" t="s">
        <v>28</v>
      </c>
      <c r="I30" t="s">
        <v>45</v>
      </c>
      <c r="J30">
        <v>313.83999999999992</v>
      </c>
      <c r="BM30" t="s">
        <v>18</v>
      </c>
      <c r="BN30" t="s">
        <v>149</v>
      </c>
      <c r="BO30" t="s">
        <v>150</v>
      </c>
      <c r="BP30">
        <v>84.4</v>
      </c>
      <c r="BQ30">
        <v>123.63</v>
      </c>
      <c r="BR30">
        <v>237.48</v>
      </c>
      <c r="BS30">
        <v>206.93</v>
      </c>
      <c r="BT30">
        <v>299.92</v>
      </c>
      <c r="BU30">
        <v>9.81</v>
      </c>
      <c r="BV30">
        <v>38.76</v>
      </c>
      <c r="BW30">
        <v>7.67</v>
      </c>
      <c r="BX30">
        <v>0</v>
      </c>
      <c r="BY30">
        <v>0</v>
      </c>
      <c r="BZ30">
        <v>8.7899999999999991</v>
      </c>
      <c r="CA30">
        <v>68.58</v>
      </c>
      <c r="CB30">
        <v>2.79</v>
      </c>
      <c r="CC30">
        <v>675.2</v>
      </c>
    </row>
    <row r="31" spans="1:81" x14ac:dyDescent="0.25">
      <c r="A31">
        <v>776</v>
      </c>
      <c r="B31" s="2">
        <v>45204</v>
      </c>
      <c r="C31" t="s">
        <v>289</v>
      </c>
      <c r="D31" s="4">
        <v>4</v>
      </c>
      <c r="E31" s="1">
        <v>206.93</v>
      </c>
      <c r="F31" s="1">
        <v>827.72</v>
      </c>
      <c r="G31" t="s">
        <v>172</v>
      </c>
      <c r="H31" t="s">
        <v>28</v>
      </c>
      <c r="I31" t="s">
        <v>45</v>
      </c>
      <c r="J31">
        <v>152.51999999999998</v>
      </c>
      <c r="BM31" t="s">
        <v>19</v>
      </c>
      <c r="BN31" t="s">
        <v>149</v>
      </c>
      <c r="BO31" t="s">
        <v>150</v>
      </c>
      <c r="BP31">
        <v>168.8</v>
      </c>
      <c r="BQ31">
        <v>123.63</v>
      </c>
      <c r="BR31">
        <v>237.48</v>
      </c>
      <c r="BS31">
        <v>206.93</v>
      </c>
      <c r="BT31">
        <v>299.92</v>
      </c>
      <c r="BU31">
        <v>9.81</v>
      </c>
      <c r="BV31">
        <v>38.76</v>
      </c>
      <c r="BW31">
        <v>7.67</v>
      </c>
      <c r="BX31">
        <v>0</v>
      </c>
      <c r="BY31">
        <v>0</v>
      </c>
      <c r="BZ31">
        <v>8.7899999999999991</v>
      </c>
      <c r="CA31">
        <v>68.58</v>
      </c>
      <c r="CB31">
        <v>2.79</v>
      </c>
      <c r="CC31">
        <v>675.2</v>
      </c>
    </row>
    <row r="32" spans="1:81" x14ac:dyDescent="0.25">
      <c r="A32">
        <v>776</v>
      </c>
      <c r="B32" s="2">
        <v>45205</v>
      </c>
      <c r="C32" t="s">
        <v>410</v>
      </c>
      <c r="D32" s="4">
        <v>8</v>
      </c>
      <c r="E32" s="1">
        <v>123.63</v>
      </c>
      <c r="F32" s="1">
        <v>989.04</v>
      </c>
      <c r="G32" t="s">
        <v>172</v>
      </c>
      <c r="H32" t="s">
        <v>28</v>
      </c>
      <c r="I32" t="s">
        <v>45</v>
      </c>
      <c r="J32">
        <v>313.83999999999992</v>
      </c>
      <c r="BM32" t="s">
        <v>18</v>
      </c>
      <c r="BN32" t="s">
        <v>149</v>
      </c>
      <c r="BO32" t="s">
        <v>150</v>
      </c>
      <c r="BP32">
        <v>84.4</v>
      </c>
      <c r="BQ32">
        <v>123.63</v>
      </c>
      <c r="BR32">
        <v>237.48</v>
      </c>
      <c r="BS32">
        <v>206.93</v>
      </c>
      <c r="BT32">
        <v>299.92</v>
      </c>
      <c r="BU32">
        <v>9.81</v>
      </c>
      <c r="BV32">
        <v>38.76</v>
      </c>
      <c r="BW32">
        <v>7.67</v>
      </c>
      <c r="BX32">
        <v>0</v>
      </c>
      <c r="BY32">
        <v>0</v>
      </c>
      <c r="BZ32">
        <v>8.7899999999999991</v>
      </c>
      <c r="CA32">
        <v>68.58</v>
      </c>
      <c r="CB32">
        <v>2.79</v>
      </c>
      <c r="CC32">
        <v>675.2</v>
      </c>
    </row>
    <row r="33" spans="1:81" x14ac:dyDescent="0.25">
      <c r="A33">
        <v>776</v>
      </c>
      <c r="B33" s="2">
        <v>45205</v>
      </c>
      <c r="C33" t="s">
        <v>289</v>
      </c>
      <c r="D33" s="4">
        <v>4</v>
      </c>
      <c r="E33" s="1">
        <v>206.93</v>
      </c>
      <c r="F33" s="1">
        <v>827.72</v>
      </c>
      <c r="G33" t="s">
        <v>172</v>
      </c>
      <c r="H33" t="s">
        <v>28</v>
      </c>
      <c r="I33" t="s">
        <v>45</v>
      </c>
      <c r="J33">
        <v>152.51999999999998</v>
      </c>
      <c r="BM33" t="s">
        <v>19</v>
      </c>
      <c r="BN33" t="s">
        <v>149</v>
      </c>
      <c r="BO33" t="s">
        <v>150</v>
      </c>
      <c r="BP33">
        <v>168.8</v>
      </c>
      <c r="BQ33">
        <v>123.63</v>
      </c>
      <c r="BR33">
        <v>237.48</v>
      </c>
      <c r="BS33">
        <v>206.93</v>
      </c>
      <c r="BT33">
        <v>299.92</v>
      </c>
      <c r="BU33">
        <v>9.81</v>
      </c>
      <c r="BV33">
        <v>38.76</v>
      </c>
      <c r="BW33">
        <v>7.67</v>
      </c>
      <c r="BX33">
        <v>0</v>
      </c>
      <c r="BY33">
        <v>0</v>
      </c>
      <c r="BZ33">
        <v>8.7899999999999991</v>
      </c>
      <c r="CA33">
        <v>68.58</v>
      </c>
      <c r="CB33">
        <v>2.79</v>
      </c>
      <c r="CC33">
        <v>675.2</v>
      </c>
    </row>
    <row r="34" spans="1:81" x14ac:dyDescent="0.25">
      <c r="A34">
        <v>776</v>
      </c>
      <c r="B34" s="2">
        <v>45207</v>
      </c>
      <c r="C34" t="s">
        <v>313</v>
      </c>
      <c r="D34" s="4">
        <v>4</v>
      </c>
      <c r="E34" s="1">
        <v>38.76</v>
      </c>
      <c r="F34" s="1">
        <v>155.04</v>
      </c>
      <c r="G34" t="s">
        <v>172</v>
      </c>
      <c r="H34" t="s">
        <v>28</v>
      </c>
      <c r="I34" t="s">
        <v>45</v>
      </c>
      <c r="J34">
        <v>10.679999999999978</v>
      </c>
      <c r="K34" t="s">
        <v>135</v>
      </c>
      <c r="L34" t="s">
        <v>326</v>
      </c>
      <c r="M34" t="s">
        <v>362</v>
      </c>
      <c r="N34" t="s">
        <v>374</v>
      </c>
      <c r="O34" t="s">
        <v>60</v>
      </c>
      <c r="P34" t="s">
        <v>60</v>
      </c>
      <c r="Q34" t="s">
        <v>60</v>
      </c>
      <c r="R34" t="s">
        <v>60</v>
      </c>
      <c r="S34" t="s">
        <v>167</v>
      </c>
      <c r="T34" t="s">
        <v>445</v>
      </c>
      <c r="U34" t="s">
        <v>233</v>
      </c>
      <c r="V34" t="s">
        <v>328</v>
      </c>
      <c r="W34" t="s">
        <v>60</v>
      </c>
      <c r="X34" t="s">
        <v>60</v>
      </c>
      <c r="Y34" t="s">
        <v>55</v>
      </c>
      <c r="Z34" t="s">
        <v>56</v>
      </c>
      <c r="AA34" t="s">
        <v>60</v>
      </c>
      <c r="AB34" t="s">
        <v>60</v>
      </c>
      <c r="AC34" t="s">
        <v>60</v>
      </c>
      <c r="AD34" t="s">
        <v>60</v>
      </c>
      <c r="AE34" t="s">
        <v>60</v>
      </c>
      <c r="AF34" t="s">
        <v>60</v>
      </c>
      <c r="AG34" t="s">
        <v>362</v>
      </c>
      <c r="AH34" t="s">
        <v>375</v>
      </c>
      <c r="AI34">
        <v>4</v>
      </c>
      <c r="AJ34">
        <v>144.36000000000001</v>
      </c>
      <c r="AK34" t="s">
        <v>431</v>
      </c>
      <c r="AL34" t="s">
        <v>432</v>
      </c>
      <c r="AM34" t="s">
        <v>57</v>
      </c>
      <c r="AN34" t="s">
        <v>58</v>
      </c>
      <c r="AO34" t="s">
        <v>60</v>
      </c>
      <c r="AP34" t="s">
        <v>60</v>
      </c>
      <c r="AQ34">
        <v>0</v>
      </c>
      <c r="AR34">
        <v>0</v>
      </c>
      <c r="AS34" t="s">
        <v>121</v>
      </c>
      <c r="AT34" t="s">
        <v>60</v>
      </c>
      <c r="AU34" t="s">
        <v>60</v>
      </c>
      <c r="AV34" t="s">
        <v>59</v>
      </c>
      <c r="AW34" t="s">
        <v>512</v>
      </c>
      <c r="AX34" t="s">
        <v>513</v>
      </c>
      <c r="AY34" t="s">
        <v>515</v>
      </c>
      <c r="AZ34" t="s">
        <v>516</v>
      </c>
      <c r="BA34" t="s">
        <v>514</v>
      </c>
      <c r="BB34" t="s">
        <v>398</v>
      </c>
      <c r="BL34" t="s">
        <v>399</v>
      </c>
      <c r="BM34" t="s">
        <v>13</v>
      </c>
      <c r="BN34" t="s">
        <v>283</v>
      </c>
      <c r="BO34" t="s">
        <v>150</v>
      </c>
      <c r="BP34">
        <v>36.090000000000003</v>
      </c>
      <c r="BQ34">
        <v>123.63</v>
      </c>
      <c r="BR34">
        <v>237.48</v>
      </c>
      <c r="BS34">
        <v>206.93</v>
      </c>
      <c r="BT34">
        <v>299.92</v>
      </c>
      <c r="BU34">
        <v>9.81</v>
      </c>
      <c r="BV34">
        <v>38.76</v>
      </c>
      <c r="BW34">
        <v>7.67</v>
      </c>
      <c r="BX34">
        <v>0</v>
      </c>
      <c r="BY34">
        <v>0</v>
      </c>
      <c r="BZ34">
        <v>8.7899999999999991</v>
      </c>
      <c r="CA34">
        <v>68.58</v>
      </c>
      <c r="CB34">
        <v>2.79</v>
      </c>
      <c r="CC34">
        <v>144.36000000000001</v>
      </c>
    </row>
    <row r="35" spans="1:81" x14ac:dyDescent="0.25">
      <c r="A35">
        <v>776</v>
      </c>
      <c r="B35" s="2">
        <v>45207</v>
      </c>
      <c r="C35" t="s">
        <v>290</v>
      </c>
      <c r="D35" s="4">
        <v>14</v>
      </c>
      <c r="E35" s="1">
        <v>2.79</v>
      </c>
      <c r="F35" s="1">
        <v>39.06</v>
      </c>
      <c r="G35" t="s">
        <v>172</v>
      </c>
      <c r="H35" t="s">
        <v>28</v>
      </c>
      <c r="I35" t="s">
        <v>45</v>
      </c>
      <c r="J35">
        <v>4.3400000000000034</v>
      </c>
      <c r="K35" t="s">
        <v>135</v>
      </c>
      <c r="L35" t="s">
        <v>326</v>
      </c>
      <c r="M35" t="s">
        <v>362</v>
      </c>
      <c r="N35" t="s">
        <v>374</v>
      </c>
      <c r="O35" t="s">
        <v>60</v>
      </c>
      <c r="P35" t="s">
        <v>60</v>
      </c>
      <c r="Q35" t="s">
        <v>60</v>
      </c>
      <c r="R35" t="s">
        <v>60</v>
      </c>
      <c r="S35" t="s">
        <v>167</v>
      </c>
      <c r="T35" t="s">
        <v>445</v>
      </c>
      <c r="U35" t="s">
        <v>233</v>
      </c>
      <c r="V35" t="s">
        <v>328</v>
      </c>
      <c r="W35" t="s">
        <v>60</v>
      </c>
      <c r="X35" t="s">
        <v>60</v>
      </c>
      <c r="Y35" t="s">
        <v>55</v>
      </c>
      <c r="Z35" t="s">
        <v>56</v>
      </c>
      <c r="AA35" t="s">
        <v>60</v>
      </c>
      <c r="AB35" t="s">
        <v>60</v>
      </c>
      <c r="AC35" t="s">
        <v>60</v>
      </c>
      <c r="AD35" t="s">
        <v>60</v>
      </c>
      <c r="AE35" t="s">
        <v>60</v>
      </c>
      <c r="AF35" t="s">
        <v>60</v>
      </c>
      <c r="AI35" t="s">
        <v>133</v>
      </c>
      <c r="AJ35" t="s">
        <v>331</v>
      </c>
      <c r="AK35" t="s">
        <v>431</v>
      </c>
      <c r="AL35" t="s">
        <v>432</v>
      </c>
      <c r="AM35" t="s">
        <v>57</v>
      </c>
      <c r="AN35" t="s">
        <v>58</v>
      </c>
      <c r="AO35" t="s">
        <v>60</v>
      </c>
      <c r="AP35" t="s">
        <v>60</v>
      </c>
      <c r="AQ35" t="s">
        <v>60</v>
      </c>
      <c r="AR35" t="s">
        <v>60</v>
      </c>
      <c r="AV35" t="s">
        <v>59</v>
      </c>
      <c r="BB35" t="s">
        <v>398</v>
      </c>
      <c r="BL35" t="s">
        <v>399</v>
      </c>
      <c r="BM35" t="s">
        <v>14</v>
      </c>
      <c r="BN35" t="s">
        <v>283</v>
      </c>
      <c r="BO35" t="s">
        <v>150</v>
      </c>
      <c r="BP35">
        <v>2.48</v>
      </c>
      <c r="BQ35">
        <v>123.63</v>
      </c>
      <c r="BR35">
        <v>237.48</v>
      </c>
      <c r="BS35">
        <v>206.93</v>
      </c>
      <c r="BT35">
        <v>299.92</v>
      </c>
      <c r="BU35">
        <v>9.81</v>
      </c>
      <c r="BV35">
        <v>38.76</v>
      </c>
      <c r="BW35">
        <v>7.67</v>
      </c>
      <c r="BX35">
        <v>0</v>
      </c>
      <c r="BY35">
        <v>0</v>
      </c>
      <c r="BZ35">
        <v>8.7899999999999991</v>
      </c>
      <c r="CA35">
        <v>68.58</v>
      </c>
      <c r="CB35">
        <v>2.79</v>
      </c>
      <c r="CC35">
        <v>34.72</v>
      </c>
    </row>
    <row r="36" spans="1:81" x14ac:dyDescent="0.25">
      <c r="A36">
        <v>776</v>
      </c>
      <c r="B36" s="2">
        <v>45207</v>
      </c>
      <c r="C36" t="s">
        <v>291</v>
      </c>
      <c r="D36" s="4">
        <v>46</v>
      </c>
      <c r="E36" s="1">
        <v>9.81</v>
      </c>
      <c r="F36" s="1">
        <v>451.26000000000005</v>
      </c>
      <c r="G36" t="s">
        <v>172</v>
      </c>
      <c r="H36" t="s">
        <v>28</v>
      </c>
      <c r="I36" t="s">
        <v>45</v>
      </c>
      <c r="J36">
        <v>97.060000000000059</v>
      </c>
      <c r="K36" t="s">
        <v>135</v>
      </c>
      <c r="L36" t="s">
        <v>326</v>
      </c>
      <c r="M36" t="s">
        <v>362</v>
      </c>
      <c r="N36" t="s">
        <v>374</v>
      </c>
      <c r="O36" t="s">
        <v>60</v>
      </c>
      <c r="P36" t="s">
        <v>60</v>
      </c>
      <c r="Q36" t="s">
        <v>60</v>
      </c>
      <c r="R36" t="s">
        <v>60</v>
      </c>
      <c r="S36" t="s">
        <v>167</v>
      </c>
      <c r="T36" t="s">
        <v>445</v>
      </c>
      <c r="U36" t="s">
        <v>233</v>
      </c>
      <c r="V36" t="s">
        <v>328</v>
      </c>
      <c r="W36" t="s">
        <v>60</v>
      </c>
      <c r="X36" t="s">
        <v>60</v>
      </c>
      <c r="Y36" t="s">
        <v>55</v>
      </c>
      <c r="Z36" t="s">
        <v>56</v>
      </c>
      <c r="AA36" t="s">
        <v>60</v>
      </c>
      <c r="AB36" t="s">
        <v>60</v>
      </c>
      <c r="AC36" t="s">
        <v>60</v>
      </c>
      <c r="AD36" t="s">
        <v>60</v>
      </c>
      <c r="AE36" t="s">
        <v>60</v>
      </c>
      <c r="AF36" t="s">
        <v>60</v>
      </c>
      <c r="AG36" t="s">
        <v>362</v>
      </c>
      <c r="AH36" t="s">
        <v>375</v>
      </c>
      <c r="AI36" t="s">
        <v>133</v>
      </c>
      <c r="AJ36" t="s">
        <v>331</v>
      </c>
      <c r="AK36" t="s">
        <v>431</v>
      </c>
      <c r="AL36" t="s">
        <v>432</v>
      </c>
      <c r="AM36" t="s">
        <v>57</v>
      </c>
      <c r="AN36" t="s">
        <v>58</v>
      </c>
      <c r="AV36" t="s">
        <v>59</v>
      </c>
      <c r="BM36" t="s">
        <v>22</v>
      </c>
      <c r="BN36" t="s">
        <v>283</v>
      </c>
      <c r="BO36" t="s">
        <v>150</v>
      </c>
      <c r="BP36">
        <v>7.7</v>
      </c>
      <c r="BQ36">
        <v>123.63</v>
      </c>
      <c r="BR36">
        <v>237.48</v>
      </c>
      <c r="BS36">
        <v>206.93</v>
      </c>
      <c r="BT36">
        <v>299.92</v>
      </c>
      <c r="BU36">
        <v>9.81</v>
      </c>
      <c r="BV36">
        <v>38.76</v>
      </c>
      <c r="BW36">
        <v>7.67</v>
      </c>
      <c r="BX36">
        <v>0</v>
      </c>
      <c r="BY36">
        <v>0</v>
      </c>
      <c r="BZ36">
        <v>8.7899999999999991</v>
      </c>
      <c r="CA36">
        <v>68.58</v>
      </c>
      <c r="CB36">
        <v>2.79</v>
      </c>
      <c r="CC36">
        <v>354.2</v>
      </c>
    </row>
    <row r="37" spans="1:81" x14ac:dyDescent="0.25">
      <c r="A37">
        <v>776</v>
      </c>
      <c r="B37" s="2">
        <v>45207</v>
      </c>
      <c r="C37" t="s">
        <v>292</v>
      </c>
      <c r="D37" s="4">
        <v>5</v>
      </c>
      <c r="E37" s="1">
        <v>68.58</v>
      </c>
      <c r="F37" s="1">
        <v>342.9</v>
      </c>
      <c r="G37" t="s">
        <v>172</v>
      </c>
      <c r="H37" t="s">
        <v>28</v>
      </c>
      <c r="I37" t="s">
        <v>45</v>
      </c>
      <c r="J37">
        <v>67.899999999999977</v>
      </c>
      <c r="K37" t="s">
        <v>135</v>
      </c>
      <c r="L37" t="s">
        <v>326</v>
      </c>
      <c r="M37" t="s">
        <v>362</v>
      </c>
      <c r="N37" t="s">
        <v>374</v>
      </c>
      <c r="O37" t="s">
        <v>60</v>
      </c>
      <c r="P37" t="s">
        <v>60</v>
      </c>
      <c r="Q37" t="s">
        <v>60</v>
      </c>
      <c r="R37" t="s">
        <v>60</v>
      </c>
      <c r="S37" t="s">
        <v>167</v>
      </c>
      <c r="T37" t="s">
        <v>445</v>
      </c>
      <c r="U37" t="s">
        <v>233</v>
      </c>
      <c r="V37" t="s">
        <v>328</v>
      </c>
      <c r="W37" t="s">
        <v>60</v>
      </c>
      <c r="X37" t="s">
        <v>60</v>
      </c>
      <c r="Y37" t="s">
        <v>55</v>
      </c>
      <c r="Z37" t="s">
        <v>56</v>
      </c>
      <c r="AA37" t="s">
        <v>60</v>
      </c>
      <c r="AB37" t="s">
        <v>60</v>
      </c>
      <c r="AC37" t="s">
        <v>60</v>
      </c>
      <c r="AD37" t="s">
        <v>60</v>
      </c>
      <c r="AE37" t="s">
        <v>60</v>
      </c>
      <c r="AF37" t="s">
        <v>60</v>
      </c>
      <c r="AG37" t="s">
        <v>362</v>
      </c>
      <c r="AH37" t="s">
        <v>375</v>
      </c>
      <c r="AI37" t="s">
        <v>133</v>
      </c>
      <c r="AJ37" t="s">
        <v>331</v>
      </c>
      <c r="AK37">
        <v>5</v>
      </c>
      <c r="AL37">
        <v>275</v>
      </c>
      <c r="AM37" t="s">
        <v>57</v>
      </c>
      <c r="AN37" t="s">
        <v>58</v>
      </c>
      <c r="AO37">
        <v>0</v>
      </c>
      <c r="AP37">
        <v>0</v>
      </c>
      <c r="AQ37" t="s">
        <v>60</v>
      </c>
      <c r="AR37" t="s">
        <v>60</v>
      </c>
      <c r="AS37" t="s">
        <v>121</v>
      </c>
      <c r="AT37" t="s">
        <v>60</v>
      </c>
      <c r="AU37" t="s">
        <v>60</v>
      </c>
      <c r="AV37" t="s">
        <v>59</v>
      </c>
      <c r="AW37" t="s">
        <v>512</v>
      </c>
      <c r="AX37" t="s">
        <v>513</v>
      </c>
      <c r="AY37" t="s">
        <v>515</v>
      </c>
      <c r="AZ37" t="s">
        <v>516</v>
      </c>
      <c r="BA37" t="s">
        <v>514</v>
      </c>
      <c r="BB37" t="s">
        <v>398</v>
      </c>
      <c r="BC37" t="s">
        <v>121</v>
      </c>
      <c r="BD37" t="s">
        <v>565</v>
      </c>
      <c r="BE37" t="s">
        <v>60</v>
      </c>
      <c r="BF37" t="s">
        <v>60</v>
      </c>
      <c r="BG37" t="s">
        <v>60</v>
      </c>
      <c r="BH37" t="s">
        <v>60</v>
      </c>
      <c r="BI37" t="s">
        <v>60</v>
      </c>
      <c r="BJ37" t="s">
        <v>60</v>
      </c>
      <c r="BK37" t="s">
        <v>60</v>
      </c>
      <c r="BL37" t="s">
        <v>399</v>
      </c>
      <c r="BM37" t="s">
        <v>25</v>
      </c>
      <c r="BN37" t="s">
        <v>283</v>
      </c>
      <c r="BO37" t="s">
        <v>150</v>
      </c>
      <c r="BP37">
        <v>55</v>
      </c>
      <c r="BQ37">
        <v>123.63</v>
      </c>
      <c r="BR37">
        <v>237.48</v>
      </c>
      <c r="BS37">
        <v>206.93</v>
      </c>
      <c r="BT37">
        <v>299.92</v>
      </c>
      <c r="BU37">
        <v>9.81</v>
      </c>
      <c r="BV37">
        <v>38.76</v>
      </c>
      <c r="BW37">
        <v>7.67</v>
      </c>
      <c r="BX37">
        <v>0</v>
      </c>
      <c r="BY37">
        <v>0</v>
      </c>
      <c r="BZ37">
        <v>8.7899999999999991</v>
      </c>
      <c r="CA37">
        <v>68.58</v>
      </c>
      <c r="CB37">
        <v>2.79</v>
      </c>
      <c r="CC37">
        <v>275</v>
      </c>
    </row>
    <row r="38" spans="1:81" x14ac:dyDescent="0.25">
      <c r="A38">
        <v>798</v>
      </c>
      <c r="B38" s="2">
        <v>45202</v>
      </c>
      <c r="C38" t="s">
        <v>588</v>
      </c>
      <c r="D38" s="4">
        <v>8</v>
      </c>
      <c r="E38" s="1">
        <v>237.48</v>
      </c>
      <c r="F38" s="1">
        <v>1899.84</v>
      </c>
      <c r="G38" t="s">
        <v>172</v>
      </c>
      <c r="H38" t="s">
        <v>28</v>
      </c>
      <c r="I38" t="s">
        <v>45</v>
      </c>
      <c r="J38">
        <v>549.43999999999983</v>
      </c>
      <c r="BM38" t="s">
        <v>21</v>
      </c>
      <c r="BN38" t="s">
        <v>155</v>
      </c>
      <c r="BO38" t="s">
        <v>156</v>
      </c>
      <c r="BP38">
        <v>168.8</v>
      </c>
      <c r="BQ38">
        <v>123.63</v>
      </c>
      <c r="BR38">
        <v>237.48</v>
      </c>
      <c r="BS38">
        <v>206.93</v>
      </c>
      <c r="BT38">
        <v>299.92</v>
      </c>
      <c r="BU38">
        <v>9.81</v>
      </c>
      <c r="BV38">
        <v>38.76</v>
      </c>
      <c r="BW38">
        <v>7.67</v>
      </c>
      <c r="BX38">
        <v>0</v>
      </c>
      <c r="BY38">
        <v>0</v>
      </c>
      <c r="BZ38">
        <v>8.7899999999999991</v>
      </c>
      <c r="CA38">
        <v>68.58</v>
      </c>
      <c r="CB38">
        <v>2.79</v>
      </c>
      <c r="CC38">
        <v>1350.4</v>
      </c>
    </row>
    <row r="39" spans="1:81" x14ac:dyDescent="0.25">
      <c r="A39">
        <v>798</v>
      </c>
      <c r="B39" s="2">
        <v>45202</v>
      </c>
      <c r="C39" t="s">
        <v>227</v>
      </c>
      <c r="D39" s="4">
        <v>4</v>
      </c>
      <c r="E39" s="1">
        <v>206.93</v>
      </c>
      <c r="F39" s="1">
        <v>827.72</v>
      </c>
      <c r="G39" t="s">
        <v>172</v>
      </c>
      <c r="H39" t="s">
        <v>28</v>
      </c>
      <c r="I39" t="s">
        <v>45</v>
      </c>
      <c r="J39">
        <v>152.51999999999998</v>
      </c>
      <c r="BM39" t="s">
        <v>19</v>
      </c>
      <c r="BN39" t="s">
        <v>155</v>
      </c>
      <c r="BO39" t="s">
        <v>156</v>
      </c>
      <c r="BP39">
        <v>168.8</v>
      </c>
      <c r="BQ39">
        <v>123.63</v>
      </c>
      <c r="BR39">
        <v>237.48</v>
      </c>
      <c r="BS39">
        <v>206.93</v>
      </c>
      <c r="BT39">
        <v>299.92</v>
      </c>
      <c r="BU39">
        <v>9.81</v>
      </c>
      <c r="BV39">
        <v>38.76</v>
      </c>
      <c r="BW39">
        <v>7.67</v>
      </c>
      <c r="BX39">
        <v>0</v>
      </c>
      <c r="BY39">
        <v>0</v>
      </c>
      <c r="BZ39">
        <v>8.7899999999999991</v>
      </c>
      <c r="CA39">
        <v>68.58</v>
      </c>
      <c r="CB39">
        <v>2.79</v>
      </c>
      <c r="CC39">
        <v>675.2</v>
      </c>
    </row>
    <row r="40" spans="1:81" x14ac:dyDescent="0.25">
      <c r="A40">
        <v>798</v>
      </c>
      <c r="B40" s="2">
        <v>45203</v>
      </c>
      <c r="C40" t="s">
        <v>588</v>
      </c>
      <c r="D40" s="4">
        <v>8</v>
      </c>
      <c r="E40" s="1">
        <v>237.48</v>
      </c>
      <c r="F40" s="1">
        <v>1899.84</v>
      </c>
      <c r="G40" t="s">
        <v>172</v>
      </c>
      <c r="H40" t="s">
        <v>28</v>
      </c>
      <c r="I40" t="s">
        <v>45</v>
      </c>
      <c r="J40">
        <v>549.43999999999983</v>
      </c>
      <c r="BM40" t="s">
        <v>21</v>
      </c>
      <c r="BN40" t="s">
        <v>155</v>
      </c>
      <c r="BO40" t="s">
        <v>156</v>
      </c>
      <c r="BP40">
        <v>168.8</v>
      </c>
      <c r="BQ40">
        <v>123.63</v>
      </c>
      <c r="BR40">
        <v>237.48</v>
      </c>
      <c r="BS40">
        <v>206.93</v>
      </c>
      <c r="BT40">
        <v>299.92</v>
      </c>
      <c r="BU40">
        <v>9.81</v>
      </c>
      <c r="BV40">
        <v>38.76</v>
      </c>
      <c r="BW40">
        <v>7.67</v>
      </c>
      <c r="BX40">
        <v>0</v>
      </c>
      <c r="BY40">
        <v>0</v>
      </c>
      <c r="BZ40">
        <v>8.7899999999999991</v>
      </c>
      <c r="CA40">
        <v>68.58</v>
      </c>
      <c r="CB40">
        <v>2.79</v>
      </c>
      <c r="CC40">
        <v>1350.4</v>
      </c>
    </row>
    <row r="41" spans="1:81" x14ac:dyDescent="0.25">
      <c r="A41">
        <v>798</v>
      </c>
      <c r="B41" s="2">
        <v>45203</v>
      </c>
      <c r="C41" t="s">
        <v>227</v>
      </c>
      <c r="D41" s="4">
        <v>4</v>
      </c>
      <c r="E41" s="1">
        <v>206.93</v>
      </c>
      <c r="F41" s="1">
        <v>827.72</v>
      </c>
      <c r="G41" t="s">
        <v>172</v>
      </c>
      <c r="H41" t="s">
        <v>28</v>
      </c>
      <c r="I41" t="s">
        <v>45</v>
      </c>
      <c r="J41">
        <v>152.51999999999998</v>
      </c>
      <c r="BM41" t="s">
        <v>19</v>
      </c>
      <c r="BN41" t="s">
        <v>155</v>
      </c>
      <c r="BO41" t="s">
        <v>156</v>
      </c>
      <c r="BP41">
        <v>168.8</v>
      </c>
      <c r="BQ41">
        <v>123.63</v>
      </c>
      <c r="BR41">
        <v>237.48</v>
      </c>
      <c r="BS41">
        <v>206.93</v>
      </c>
      <c r="BT41">
        <v>299.92</v>
      </c>
      <c r="BU41">
        <v>9.81</v>
      </c>
      <c r="BV41">
        <v>38.76</v>
      </c>
      <c r="BW41">
        <v>7.67</v>
      </c>
      <c r="BX41">
        <v>0</v>
      </c>
      <c r="BY41">
        <v>0</v>
      </c>
      <c r="BZ41">
        <v>8.7899999999999991</v>
      </c>
      <c r="CA41">
        <v>68.58</v>
      </c>
      <c r="CB41">
        <v>2.79</v>
      </c>
      <c r="CC41">
        <v>675.2</v>
      </c>
    </row>
    <row r="42" spans="1:81" x14ac:dyDescent="0.25">
      <c r="A42">
        <v>798</v>
      </c>
      <c r="B42" s="2">
        <v>45204</v>
      </c>
      <c r="C42" t="s">
        <v>588</v>
      </c>
      <c r="D42" s="4">
        <v>8</v>
      </c>
      <c r="E42" s="1">
        <v>237.48</v>
      </c>
      <c r="F42" s="1">
        <v>1899.84</v>
      </c>
      <c r="G42" t="s">
        <v>172</v>
      </c>
      <c r="H42" t="s">
        <v>28</v>
      </c>
      <c r="I42" t="s">
        <v>45</v>
      </c>
      <c r="J42">
        <v>549.43999999999983</v>
      </c>
      <c r="BM42" t="s">
        <v>21</v>
      </c>
      <c r="BN42" t="s">
        <v>155</v>
      </c>
      <c r="BO42" t="s">
        <v>156</v>
      </c>
      <c r="BP42">
        <v>168.8</v>
      </c>
      <c r="BQ42">
        <v>123.63</v>
      </c>
      <c r="BR42">
        <v>237.48</v>
      </c>
      <c r="BS42">
        <v>206.93</v>
      </c>
      <c r="BT42">
        <v>299.92</v>
      </c>
      <c r="BU42">
        <v>9.81</v>
      </c>
      <c r="BV42">
        <v>38.76</v>
      </c>
      <c r="BW42">
        <v>7.67</v>
      </c>
      <c r="BX42">
        <v>0</v>
      </c>
      <c r="BY42">
        <v>0</v>
      </c>
      <c r="BZ42">
        <v>8.7899999999999991</v>
      </c>
      <c r="CA42">
        <v>68.58</v>
      </c>
      <c r="CB42">
        <v>2.79</v>
      </c>
      <c r="CC42">
        <v>1350.4</v>
      </c>
    </row>
    <row r="43" spans="1:81" x14ac:dyDescent="0.25">
      <c r="A43">
        <v>798</v>
      </c>
      <c r="B43" s="2">
        <v>45204</v>
      </c>
      <c r="C43" t="s">
        <v>227</v>
      </c>
      <c r="D43" s="4">
        <v>4</v>
      </c>
      <c r="E43" s="1">
        <v>206.93</v>
      </c>
      <c r="F43" s="1">
        <v>827.72</v>
      </c>
      <c r="G43" t="s">
        <v>172</v>
      </c>
      <c r="H43" t="s">
        <v>28</v>
      </c>
      <c r="I43" t="s">
        <v>45</v>
      </c>
      <c r="J43">
        <v>152.51999999999998</v>
      </c>
      <c r="BM43" t="s">
        <v>19</v>
      </c>
      <c r="BN43" t="s">
        <v>155</v>
      </c>
      <c r="BO43" t="s">
        <v>156</v>
      </c>
      <c r="BP43">
        <v>168.8</v>
      </c>
      <c r="BQ43">
        <v>123.63</v>
      </c>
      <c r="BR43">
        <v>237.48</v>
      </c>
      <c r="BS43">
        <v>206.93</v>
      </c>
      <c r="BT43">
        <v>299.92</v>
      </c>
      <c r="BU43">
        <v>9.81</v>
      </c>
      <c r="BV43">
        <v>38.76</v>
      </c>
      <c r="BW43">
        <v>7.67</v>
      </c>
      <c r="BX43">
        <v>0</v>
      </c>
      <c r="BY43">
        <v>0</v>
      </c>
      <c r="BZ43">
        <v>8.7899999999999991</v>
      </c>
      <c r="CA43">
        <v>68.58</v>
      </c>
      <c r="CB43">
        <v>2.79</v>
      </c>
      <c r="CC43">
        <v>675.2</v>
      </c>
    </row>
    <row r="44" spans="1:81" x14ac:dyDescent="0.25">
      <c r="A44">
        <v>798</v>
      </c>
      <c r="B44" s="2">
        <v>45205</v>
      </c>
      <c r="C44" t="s">
        <v>588</v>
      </c>
      <c r="D44" s="4">
        <v>8</v>
      </c>
      <c r="E44" s="1">
        <v>237.48</v>
      </c>
      <c r="F44" s="1">
        <v>1899.84</v>
      </c>
      <c r="G44" t="s">
        <v>172</v>
      </c>
      <c r="H44" t="s">
        <v>28</v>
      </c>
      <c r="I44" t="s">
        <v>45</v>
      </c>
      <c r="J44">
        <v>549.43999999999983</v>
      </c>
      <c r="BM44" t="s">
        <v>21</v>
      </c>
      <c r="BN44" t="s">
        <v>155</v>
      </c>
      <c r="BO44" t="s">
        <v>156</v>
      </c>
      <c r="BP44">
        <v>168.8</v>
      </c>
      <c r="BQ44">
        <v>123.63</v>
      </c>
      <c r="BR44">
        <v>237.48</v>
      </c>
      <c r="BS44">
        <v>206.93</v>
      </c>
      <c r="BT44">
        <v>299.92</v>
      </c>
      <c r="BU44">
        <v>9.81</v>
      </c>
      <c r="BV44">
        <v>38.76</v>
      </c>
      <c r="BW44">
        <v>7.67</v>
      </c>
      <c r="BX44">
        <v>0</v>
      </c>
      <c r="BY44">
        <v>0</v>
      </c>
      <c r="BZ44">
        <v>8.7899999999999991</v>
      </c>
      <c r="CA44">
        <v>68.58</v>
      </c>
      <c r="CB44">
        <v>2.79</v>
      </c>
      <c r="CC44">
        <v>1350.4</v>
      </c>
    </row>
    <row r="45" spans="1:81" x14ac:dyDescent="0.25">
      <c r="A45">
        <v>798</v>
      </c>
      <c r="B45" s="2">
        <v>45205</v>
      </c>
      <c r="C45" t="s">
        <v>227</v>
      </c>
      <c r="D45" s="4">
        <v>4</v>
      </c>
      <c r="E45" s="1">
        <v>206.93</v>
      </c>
      <c r="F45" s="1">
        <v>827.72</v>
      </c>
      <c r="G45" t="s">
        <v>172</v>
      </c>
      <c r="H45" t="s">
        <v>28</v>
      </c>
      <c r="I45" t="s">
        <v>45</v>
      </c>
      <c r="J45">
        <v>152.51999999999998</v>
      </c>
      <c r="BM45" t="s">
        <v>19</v>
      </c>
      <c r="BN45" t="s">
        <v>155</v>
      </c>
      <c r="BO45" t="s">
        <v>156</v>
      </c>
      <c r="BP45">
        <v>168.8</v>
      </c>
      <c r="BQ45">
        <v>123.63</v>
      </c>
      <c r="BR45">
        <v>237.48</v>
      </c>
      <c r="BS45">
        <v>206.93</v>
      </c>
      <c r="BT45">
        <v>299.92</v>
      </c>
      <c r="BU45">
        <v>9.81</v>
      </c>
      <c r="BV45">
        <v>38.76</v>
      </c>
      <c r="BW45">
        <v>7.67</v>
      </c>
      <c r="BX45">
        <v>0</v>
      </c>
      <c r="BY45">
        <v>0</v>
      </c>
      <c r="BZ45">
        <v>8.7899999999999991</v>
      </c>
      <c r="CA45">
        <v>68.58</v>
      </c>
      <c r="CB45">
        <v>2.79</v>
      </c>
      <c r="CC45">
        <v>675.2</v>
      </c>
    </row>
    <row r="46" spans="1:81" x14ac:dyDescent="0.25">
      <c r="A46">
        <v>798</v>
      </c>
      <c r="B46" s="2">
        <v>45207</v>
      </c>
      <c r="C46" t="s">
        <v>314</v>
      </c>
      <c r="D46" s="4">
        <v>4</v>
      </c>
      <c r="E46" s="1">
        <v>38.76</v>
      </c>
      <c r="F46" s="1">
        <v>155.04</v>
      </c>
      <c r="G46" t="s">
        <v>172</v>
      </c>
      <c r="H46" t="s">
        <v>28</v>
      </c>
      <c r="I46" t="s">
        <v>45</v>
      </c>
      <c r="J46">
        <v>10.679999999999978</v>
      </c>
      <c r="K46" t="s">
        <v>60</v>
      </c>
      <c r="L46" t="s">
        <v>60</v>
      </c>
      <c r="M46" t="s">
        <v>169</v>
      </c>
      <c r="N46" t="s">
        <v>326</v>
      </c>
      <c r="O46" t="s">
        <v>60</v>
      </c>
      <c r="P46" t="s">
        <v>60</v>
      </c>
      <c r="Q46" t="s">
        <v>60</v>
      </c>
      <c r="R46" t="s">
        <v>60</v>
      </c>
      <c r="S46" t="s">
        <v>90</v>
      </c>
      <c r="T46" t="s">
        <v>327</v>
      </c>
      <c r="U46" t="s">
        <v>233</v>
      </c>
      <c r="V46" t="s">
        <v>328</v>
      </c>
      <c r="W46" t="s">
        <v>135</v>
      </c>
      <c r="X46" t="s">
        <v>332</v>
      </c>
      <c r="Y46" t="s">
        <v>55</v>
      </c>
      <c r="Z46" t="s">
        <v>56</v>
      </c>
      <c r="AA46" t="s">
        <v>60</v>
      </c>
      <c r="AB46" t="s">
        <v>60</v>
      </c>
      <c r="AC46" t="s">
        <v>60</v>
      </c>
      <c r="AD46" t="s">
        <v>60</v>
      </c>
      <c r="AE46" t="s">
        <v>60</v>
      </c>
      <c r="AF46" t="s">
        <v>60</v>
      </c>
      <c r="AG46" t="s">
        <v>169</v>
      </c>
      <c r="AH46" t="s">
        <v>330</v>
      </c>
      <c r="AI46">
        <v>4</v>
      </c>
      <c r="AJ46">
        <v>144.36000000000001</v>
      </c>
      <c r="AK46" t="s">
        <v>431</v>
      </c>
      <c r="AL46" t="s">
        <v>432</v>
      </c>
      <c r="AM46" t="s">
        <v>57</v>
      </c>
      <c r="AN46" t="s">
        <v>58</v>
      </c>
      <c r="AO46" t="s">
        <v>60</v>
      </c>
      <c r="AP46" t="s">
        <v>60</v>
      </c>
      <c r="AQ46">
        <v>0</v>
      </c>
      <c r="AR46">
        <v>0</v>
      </c>
      <c r="AS46" t="s">
        <v>60</v>
      </c>
      <c r="AT46" t="s">
        <v>60</v>
      </c>
      <c r="AU46" t="s">
        <v>60</v>
      </c>
      <c r="AV46" t="s">
        <v>59</v>
      </c>
      <c r="AW46" t="s">
        <v>517</v>
      </c>
      <c r="AX46" t="s">
        <v>517</v>
      </c>
      <c r="AY46" t="s">
        <v>519</v>
      </c>
      <c r="AZ46" t="s">
        <v>520</v>
      </c>
      <c r="BA46" t="s">
        <v>518</v>
      </c>
      <c r="BB46" t="s">
        <v>191</v>
      </c>
      <c r="BL46" t="s">
        <v>335</v>
      </c>
      <c r="BM46" t="s">
        <v>13</v>
      </c>
      <c r="BN46" t="s">
        <v>226</v>
      </c>
      <c r="BO46" t="s">
        <v>156</v>
      </c>
      <c r="BP46">
        <v>36.090000000000003</v>
      </c>
      <c r="BQ46">
        <v>123.63</v>
      </c>
      <c r="BR46">
        <v>237.48</v>
      </c>
      <c r="BS46">
        <v>206.93</v>
      </c>
      <c r="BT46">
        <v>299.92</v>
      </c>
      <c r="BU46">
        <v>9.81</v>
      </c>
      <c r="BV46">
        <v>38.76</v>
      </c>
      <c r="BW46">
        <v>7.67</v>
      </c>
      <c r="BX46">
        <v>0</v>
      </c>
      <c r="BY46">
        <v>0</v>
      </c>
      <c r="BZ46">
        <v>8.7899999999999991</v>
      </c>
      <c r="CA46">
        <v>68.58</v>
      </c>
      <c r="CB46">
        <v>2.79</v>
      </c>
      <c r="CC46">
        <v>144.36000000000001</v>
      </c>
    </row>
    <row r="47" spans="1:81" x14ac:dyDescent="0.25">
      <c r="A47">
        <v>798</v>
      </c>
      <c r="B47" s="2">
        <v>45207</v>
      </c>
      <c r="C47" t="s">
        <v>228</v>
      </c>
      <c r="D47" s="4">
        <v>16</v>
      </c>
      <c r="E47" s="1">
        <v>2.79</v>
      </c>
      <c r="F47" s="1">
        <v>44.64</v>
      </c>
      <c r="G47" t="s">
        <v>172</v>
      </c>
      <c r="H47" t="s">
        <v>28</v>
      </c>
      <c r="I47" t="s">
        <v>45</v>
      </c>
      <c r="J47">
        <v>4.9600000000000009</v>
      </c>
      <c r="K47" t="s">
        <v>60</v>
      </c>
      <c r="L47" t="s">
        <v>60</v>
      </c>
      <c r="M47" t="s">
        <v>169</v>
      </c>
      <c r="N47" t="s">
        <v>326</v>
      </c>
      <c r="O47" t="s">
        <v>60</v>
      </c>
      <c r="P47" t="s">
        <v>60</v>
      </c>
      <c r="Q47" t="s">
        <v>60</v>
      </c>
      <c r="R47" t="s">
        <v>60</v>
      </c>
      <c r="S47" t="s">
        <v>90</v>
      </c>
      <c r="T47" t="s">
        <v>327</v>
      </c>
      <c r="U47" t="s">
        <v>233</v>
      </c>
      <c r="V47" t="s">
        <v>328</v>
      </c>
      <c r="W47" t="s">
        <v>135</v>
      </c>
      <c r="X47" t="s">
        <v>332</v>
      </c>
      <c r="Y47" t="s">
        <v>55</v>
      </c>
      <c r="Z47" t="s">
        <v>56</v>
      </c>
      <c r="AA47" t="s">
        <v>60</v>
      </c>
      <c r="AB47" t="s">
        <v>60</v>
      </c>
      <c r="AC47" t="s">
        <v>60</v>
      </c>
      <c r="AD47" t="s">
        <v>60</v>
      </c>
      <c r="AE47" t="s">
        <v>60</v>
      </c>
      <c r="AF47" t="s">
        <v>60</v>
      </c>
      <c r="AI47" t="s">
        <v>133</v>
      </c>
      <c r="AJ47" t="s">
        <v>331</v>
      </c>
      <c r="AK47" t="s">
        <v>431</v>
      </c>
      <c r="AL47" t="s">
        <v>432</v>
      </c>
      <c r="AM47" t="s">
        <v>57</v>
      </c>
      <c r="AN47" t="s">
        <v>58</v>
      </c>
      <c r="AO47" t="s">
        <v>60</v>
      </c>
      <c r="AP47" t="s">
        <v>60</v>
      </c>
      <c r="AQ47" t="s">
        <v>60</v>
      </c>
      <c r="AR47" t="s">
        <v>60</v>
      </c>
      <c r="AV47" t="s">
        <v>59</v>
      </c>
      <c r="BB47" t="s">
        <v>191</v>
      </c>
      <c r="BL47" t="s">
        <v>335</v>
      </c>
      <c r="BM47" t="s">
        <v>14</v>
      </c>
      <c r="BN47" t="s">
        <v>226</v>
      </c>
      <c r="BO47" t="s">
        <v>156</v>
      </c>
      <c r="BP47">
        <v>2.48</v>
      </c>
      <c r="BQ47">
        <v>123.63</v>
      </c>
      <c r="BR47">
        <v>237.48</v>
      </c>
      <c r="BS47">
        <v>206.93</v>
      </c>
      <c r="BT47">
        <v>299.92</v>
      </c>
      <c r="BU47">
        <v>9.81</v>
      </c>
      <c r="BV47">
        <v>38.76</v>
      </c>
      <c r="BW47">
        <v>7.67</v>
      </c>
      <c r="BX47">
        <v>0</v>
      </c>
      <c r="BY47">
        <v>0</v>
      </c>
      <c r="BZ47">
        <v>8.7899999999999991</v>
      </c>
      <c r="CA47">
        <v>68.58</v>
      </c>
      <c r="CB47">
        <v>2.79</v>
      </c>
      <c r="CC47">
        <v>39.68</v>
      </c>
    </row>
    <row r="48" spans="1:81" x14ac:dyDescent="0.25">
      <c r="A48">
        <v>798</v>
      </c>
      <c r="B48" s="2">
        <v>45207</v>
      </c>
      <c r="C48" t="s">
        <v>229</v>
      </c>
      <c r="D48" s="4">
        <v>48</v>
      </c>
      <c r="E48" s="1">
        <v>9.81</v>
      </c>
      <c r="F48" s="1">
        <v>470.88</v>
      </c>
      <c r="G48" t="s">
        <v>172</v>
      </c>
      <c r="H48" t="s">
        <v>28</v>
      </c>
      <c r="I48" t="s">
        <v>45</v>
      </c>
      <c r="J48">
        <v>101.27999999999997</v>
      </c>
      <c r="K48" t="s">
        <v>60</v>
      </c>
      <c r="L48" t="s">
        <v>60</v>
      </c>
      <c r="M48" t="s">
        <v>169</v>
      </c>
      <c r="N48" t="s">
        <v>326</v>
      </c>
      <c r="O48" t="s">
        <v>60</v>
      </c>
      <c r="P48" t="s">
        <v>60</v>
      </c>
      <c r="Q48" t="s">
        <v>60</v>
      </c>
      <c r="R48" t="s">
        <v>60</v>
      </c>
      <c r="S48" t="s">
        <v>90</v>
      </c>
      <c r="T48" t="s">
        <v>327</v>
      </c>
      <c r="U48" t="s">
        <v>233</v>
      </c>
      <c r="V48" t="s">
        <v>328</v>
      </c>
      <c r="W48" t="s">
        <v>135</v>
      </c>
      <c r="X48" t="s">
        <v>332</v>
      </c>
      <c r="Y48" t="s">
        <v>55</v>
      </c>
      <c r="Z48" t="s">
        <v>56</v>
      </c>
      <c r="AA48" t="s">
        <v>60</v>
      </c>
      <c r="AB48" t="s">
        <v>60</v>
      </c>
      <c r="AC48" t="s">
        <v>60</v>
      </c>
      <c r="AD48" t="s">
        <v>60</v>
      </c>
      <c r="AE48" t="s">
        <v>60</v>
      </c>
      <c r="AF48" t="s">
        <v>60</v>
      </c>
      <c r="AG48" t="s">
        <v>169</v>
      </c>
      <c r="AH48" t="s">
        <v>330</v>
      </c>
      <c r="AI48" t="s">
        <v>133</v>
      </c>
      <c r="AJ48" t="s">
        <v>331</v>
      </c>
      <c r="AK48" t="s">
        <v>431</v>
      </c>
      <c r="AL48" t="s">
        <v>432</v>
      </c>
      <c r="AM48" t="s">
        <v>57</v>
      </c>
      <c r="AN48" t="s">
        <v>58</v>
      </c>
      <c r="AV48" t="s">
        <v>59</v>
      </c>
      <c r="BM48" t="s">
        <v>22</v>
      </c>
      <c r="BN48" t="s">
        <v>226</v>
      </c>
      <c r="BO48" t="s">
        <v>156</v>
      </c>
      <c r="BP48">
        <v>7.7</v>
      </c>
      <c r="BQ48">
        <v>123.63</v>
      </c>
      <c r="BR48">
        <v>237.48</v>
      </c>
      <c r="BS48">
        <v>206.93</v>
      </c>
      <c r="BT48">
        <v>299.92</v>
      </c>
      <c r="BU48">
        <v>9.81</v>
      </c>
      <c r="BV48">
        <v>38.76</v>
      </c>
      <c r="BW48">
        <v>7.67</v>
      </c>
      <c r="BX48">
        <v>0</v>
      </c>
      <c r="BY48">
        <v>0</v>
      </c>
      <c r="BZ48">
        <v>8.7899999999999991</v>
      </c>
      <c r="CA48">
        <v>68.58</v>
      </c>
      <c r="CB48">
        <v>2.79</v>
      </c>
      <c r="CC48">
        <v>369.6</v>
      </c>
    </row>
    <row r="49" spans="1:81" x14ac:dyDescent="0.25">
      <c r="A49">
        <v>798</v>
      </c>
      <c r="B49" s="2">
        <v>45207</v>
      </c>
      <c r="C49" t="s">
        <v>230</v>
      </c>
      <c r="D49" s="4">
        <v>5</v>
      </c>
      <c r="E49" s="1">
        <v>68.58</v>
      </c>
      <c r="F49" s="1">
        <v>342.9</v>
      </c>
      <c r="G49" t="s">
        <v>172</v>
      </c>
      <c r="H49" t="s">
        <v>28</v>
      </c>
      <c r="I49" t="s">
        <v>45</v>
      </c>
      <c r="J49">
        <v>67.899999999999977</v>
      </c>
      <c r="K49" t="s">
        <v>60</v>
      </c>
      <c r="L49" t="s">
        <v>60</v>
      </c>
      <c r="M49" t="s">
        <v>169</v>
      </c>
      <c r="N49" t="s">
        <v>326</v>
      </c>
      <c r="O49" t="s">
        <v>60</v>
      </c>
      <c r="P49" t="s">
        <v>60</v>
      </c>
      <c r="Q49" t="s">
        <v>60</v>
      </c>
      <c r="R49" t="s">
        <v>60</v>
      </c>
      <c r="S49" t="s">
        <v>90</v>
      </c>
      <c r="T49" t="s">
        <v>327</v>
      </c>
      <c r="U49" t="s">
        <v>233</v>
      </c>
      <c r="V49" t="s">
        <v>328</v>
      </c>
      <c r="W49" t="s">
        <v>135</v>
      </c>
      <c r="X49" t="s">
        <v>332</v>
      </c>
      <c r="Y49" t="s">
        <v>55</v>
      </c>
      <c r="Z49" t="s">
        <v>56</v>
      </c>
      <c r="AA49" t="s">
        <v>60</v>
      </c>
      <c r="AB49" t="s">
        <v>60</v>
      </c>
      <c r="AC49" t="s">
        <v>60</v>
      </c>
      <c r="AD49" t="s">
        <v>60</v>
      </c>
      <c r="AE49" t="s">
        <v>60</v>
      </c>
      <c r="AF49" t="s">
        <v>60</v>
      </c>
      <c r="AG49" t="s">
        <v>169</v>
      </c>
      <c r="AH49" t="s">
        <v>330</v>
      </c>
      <c r="AI49" t="s">
        <v>133</v>
      </c>
      <c r="AJ49" t="s">
        <v>331</v>
      </c>
      <c r="AK49">
        <v>5</v>
      </c>
      <c r="AL49">
        <v>275</v>
      </c>
      <c r="AM49" t="s">
        <v>57</v>
      </c>
      <c r="AN49" t="s">
        <v>58</v>
      </c>
      <c r="AO49">
        <v>0</v>
      </c>
      <c r="AP49">
        <v>0</v>
      </c>
      <c r="AQ49" t="s">
        <v>60</v>
      </c>
      <c r="AR49" t="s">
        <v>60</v>
      </c>
      <c r="AS49" t="s">
        <v>60</v>
      </c>
      <c r="AT49" t="s">
        <v>60</v>
      </c>
      <c r="AU49" t="s">
        <v>60</v>
      </c>
      <c r="AV49" t="s">
        <v>59</v>
      </c>
      <c r="AW49" t="s">
        <v>517</v>
      </c>
      <c r="AX49" t="s">
        <v>517</v>
      </c>
      <c r="AY49" t="s">
        <v>519</v>
      </c>
      <c r="AZ49" t="s">
        <v>520</v>
      </c>
      <c r="BA49" t="s">
        <v>518</v>
      </c>
      <c r="BB49" t="s">
        <v>191</v>
      </c>
      <c r="BC49" t="s">
        <v>121</v>
      </c>
      <c r="BD49" t="s">
        <v>566</v>
      </c>
      <c r="BE49" t="s">
        <v>60</v>
      </c>
      <c r="BF49" t="s">
        <v>60</v>
      </c>
      <c r="BG49" t="s">
        <v>60</v>
      </c>
      <c r="BH49" t="s">
        <v>60</v>
      </c>
      <c r="BI49" t="s">
        <v>60</v>
      </c>
      <c r="BJ49" t="s">
        <v>60</v>
      </c>
      <c r="BK49" t="s">
        <v>60</v>
      </c>
      <c r="BL49" t="s">
        <v>335</v>
      </c>
      <c r="BM49" t="s">
        <v>25</v>
      </c>
      <c r="BN49" t="s">
        <v>226</v>
      </c>
      <c r="BO49" t="s">
        <v>156</v>
      </c>
      <c r="BP49">
        <v>55</v>
      </c>
      <c r="BQ49">
        <v>123.63</v>
      </c>
      <c r="BR49">
        <v>237.48</v>
      </c>
      <c r="BS49">
        <v>206.93</v>
      </c>
      <c r="BT49">
        <v>299.92</v>
      </c>
      <c r="BU49">
        <v>9.81</v>
      </c>
      <c r="BV49">
        <v>38.76</v>
      </c>
      <c r="BW49">
        <v>7.67</v>
      </c>
      <c r="BX49">
        <v>0</v>
      </c>
      <c r="BY49">
        <v>0</v>
      </c>
      <c r="BZ49">
        <v>8.7899999999999991</v>
      </c>
      <c r="CA49">
        <v>68.58</v>
      </c>
      <c r="CB49">
        <v>2.79</v>
      </c>
      <c r="CC49">
        <v>275</v>
      </c>
    </row>
    <row r="50" spans="1:81" x14ac:dyDescent="0.25">
      <c r="A50">
        <v>894</v>
      </c>
      <c r="B50" s="2">
        <v>45202</v>
      </c>
      <c r="C50" t="s">
        <v>383</v>
      </c>
      <c r="D50" s="4">
        <v>8</v>
      </c>
      <c r="E50" s="1">
        <v>123.63</v>
      </c>
      <c r="F50" s="1">
        <v>989.04</v>
      </c>
      <c r="G50" t="s">
        <v>172</v>
      </c>
      <c r="H50" t="s">
        <v>28</v>
      </c>
      <c r="I50" t="s">
        <v>45</v>
      </c>
      <c r="J50">
        <v>313.83999999999992</v>
      </c>
      <c r="BM50" t="s">
        <v>18</v>
      </c>
      <c r="BN50" t="s">
        <v>357</v>
      </c>
      <c r="BO50" t="s">
        <v>358</v>
      </c>
      <c r="BP50">
        <v>84.4</v>
      </c>
      <c r="BQ50">
        <v>123.63</v>
      </c>
      <c r="BR50">
        <v>237.48</v>
      </c>
      <c r="BS50">
        <v>206.93</v>
      </c>
      <c r="BT50">
        <v>299.92</v>
      </c>
      <c r="BU50">
        <v>9.81</v>
      </c>
      <c r="BV50">
        <v>38.76</v>
      </c>
      <c r="BW50">
        <v>7.67</v>
      </c>
      <c r="BX50">
        <v>0</v>
      </c>
      <c r="BY50">
        <v>0</v>
      </c>
      <c r="BZ50">
        <v>8.7899999999999991</v>
      </c>
      <c r="CA50">
        <v>68.58</v>
      </c>
      <c r="CB50">
        <v>2.79</v>
      </c>
      <c r="CC50">
        <v>675.2</v>
      </c>
    </row>
    <row r="51" spans="1:81" x14ac:dyDescent="0.25">
      <c r="A51">
        <v>894</v>
      </c>
      <c r="B51" s="2">
        <v>45202</v>
      </c>
      <c r="C51" t="s">
        <v>589</v>
      </c>
      <c r="D51" s="4">
        <v>2</v>
      </c>
      <c r="E51" s="1">
        <v>206.93</v>
      </c>
      <c r="F51" s="1">
        <v>413.86</v>
      </c>
      <c r="G51" t="s">
        <v>172</v>
      </c>
      <c r="H51" t="s">
        <v>28</v>
      </c>
      <c r="I51" t="s">
        <v>45</v>
      </c>
      <c r="J51">
        <v>76.259999999999991</v>
      </c>
      <c r="BM51" t="s">
        <v>19</v>
      </c>
      <c r="BN51" t="s">
        <v>357</v>
      </c>
      <c r="BO51" t="s">
        <v>358</v>
      </c>
      <c r="BP51">
        <v>168.8</v>
      </c>
      <c r="BQ51">
        <v>123.63</v>
      </c>
      <c r="BR51">
        <v>237.48</v>
      </c>
      <c r="BS51">
        <v>206.93</v>
      </c>
      <c r="BT51">
        <v>299.92</v>
      </c>
      <c r="BU51">
        <v>9.81</v>
      </c>
      <c r="BV51">
        <v>38.76</v>
      </c>
      <c r="BW51">
        <v>7.67</v>
      </c>
      <c r="BX51">
        <v>0</v>
      </c>
      <c r="BY51">
        <v>0</v>
      </c>
      <c r="BZ51">
        <v>8.7899999999999991</v>
      </c>
      <c r="CA51">
        <v>68.58</v>
      </c>
      <c r="CB51">
        <v>2.79</v>
      </c>
      <c r="CC51">
        <v>337.6</v>
      </c>
    </row>
    <row r="52" spans="1:81" x14ac:dyDescent="0.25">
      <c r="A52">
        <v>894</v>
      </c>
      <c r="B52" s="2">
        <v>45203</v>
      </c>
      <c r="C52" t="s">
        <v>383</v>
      </c>
      <c r="D52" s="4">
        <v>8</v>
      </c>
      <c r="E52" s="1">
        <v>123.63</v>
      </c>
      <c r="F52" s="1">
        <v>989.04</v>
      </c>
      <c r="G52" t="s">
        <v>172</v>
      </c>
      <c r="H52" t="s">
        <v>28</v>
      </c>
      <c r="I52" t="s">
        <v>45</v>
      </c>
      <c r="J52">
        <v>313.83999999999992</v>
      </c>
      <c r="BM52" t="s">
        <v>18</v>
      </c>
      <c r="BN52" t="s">
        <v>357</v>
      </c>
      <c r="BO52" t="s">
        <v>358</v>
      </c>
      <c r="BP52">
        <v>84.4</v>
      </c>
      <c r="BQ52">
        <v>123.63</v>
      </c>
      <c r="BR52">
        <v>237.48</v>
      </c>
      <c r="BS52">
        <v>206.93</v>
      </c>
      <c r="BT52">
        <v>299.92</v>
      </c>
      <c r="BU52">
        <v>9.81</v>
      </c>
      <c r="BV52">
        <v>38.76</v>
      </c>
      <c r="BW52">
        <v>7.67</v>
      </c>
      <c r="BX52">
        <v>0</v>
      </c>
      <c r="BY52">
        <v>0</v>
      </c>
      <c r="BZ52">
        <v>8.7899999999999991</v>
      </c>
      <c r="CA52">
        <v>68.58</v>
      </c>
      <c r="CB52">
        <v>2.79</v>
      </c>
      <c r="CC52">
        <v>675.2</v>
      </c>
    </row>
    <row r="53" spans="1:81" x14ac:dyDescent="0.25">
      <c r="A53">
        <v>894</v>
      </c>
      <c r="B53" s="2">
        <v>45203</v>
      </c>
      <c r="C53" t="s">
        <v>589</v>
      </c>
      <c r="D53" s="4">
        <v>3</v>
      </c>
      <c r="E53" s="1">
        <v>206.93</v>
      </c>
      <c r="F53" s="1">
        <v>620.79</v>
      </c>
      <c r="G53" t="s">
        <v>172</v>
      </c>
      <c r="H53" t="s">
        <v>28</v>
      </c>
      <c r="I53" t="s">
        <v>45</v>
      </c>
      <c r="J53">
        <v>114.38999999999999</v>
      </c>
      <c r="BM53" t="s">
        <v>19</v>
      </c>
      <c r="BN53" t="s">
        <v>357</v>
      </c>
      <c r="BO53" t="s">
        <v>358</v>
      </c>
      <c r="BP53">
        <v>168.8</v>
      </c>
      <c r="BQ53">
        <v>123.63</v>
      </c>
      <c r="BR53">
        <v>237.48</v>
      </c>
      <c r="BS53">
        <v>206.93</v>
      </c>
      <c r="BT53">
        <v>299.92</v>
      </c>
      <c r="BU53">
        <v>9.81</v>
      </c>
      <c r="BV53">
        <v>38.76</v>
      </c>
      <c r="BW53">
        <v>7.67</v>
      </c>
      <c r="BX53">
        <v>0</v>
      </c>
      <c r="BY53">
        <v>0</v>
      </c>
      <c r="BZ53">
        <v>8.7899999999999991</v>
      </c>
      <c r="CA53">
        <v>68.58</v>
      </c>
      <c r="CB53">
        <v>2.79</v>
      </c>
      <c r="CC53">
        <v>506.4</v>
      </c>
    </row>
    <row r="54" spans="1:81" x14ac:dyDescent="0.25">
      <c r="A54">
        <v>894</v>
      </c>
      <c r="B54" s="2">
        <v>45204</v>
      </c>
      <c r="C54" t="s">
        <v>383</v>
      </c>
      <c r="D54" s="4">
        <v>8</v>
      </c>
      <c r="E54" s="1">
        <v>123.63</v>
      </c>
      <c r="F54" s="1">
        <v>989.04</v>
      </c>
      <c r="G54" t="s">
        <v>172</v>
      </c>
      <c r="H54" t="s">
        <v>28</v>
      </c>
      <c r="I54" t="s">
        <v>45</v>
      </c>
      <c r="J54">
        <v>313.83999999999992</v>
      </c>
      <c r="BM54" t="s">
        <v>18</v>
      </c>
      <c r="BN54" t="s">
        <v>357</v>
      </c>
      <c r="BO54" t="s">
        <v>358</v>
      </c>
      <c r="BP54">
        <v>84.4</v>
      </c>
      <c r="BQ54">
        <v>123.63</v>
      </c>
      <c r="BR54">
        <v>237.48</v>
      </c>
      <c r="BS54">
        <v>206.93</v>
      </c>
      <c r="BT54">
        <v>299.92</v>
      </c>
      <c r="BU54">
        <v>9.81</v>
      </c>
      <c r="BV54">
        <v>38.76</v>
      </c>
      <c r="BW54">
        <v>7.67</v>
      </c>
      <c r="BX54">
        <v>0</v>
      </c>
      <c r="BY54">
        <v>0</v>
      </c>
      <c r="BZ54">
        <v>8.7899999999999991</v>
      </c>
      <c r="CA54">
        <v>68.58</v>
      </c>
      <c r="CB54">
        <v>2.79</v>
      </c>
      <c r="CC54">
        <v>675.2</v>
      </c>
    </row>
    <row r="55" spans="1:81" x14ac:dyDescent="0.25">
      <c r="A55">
        <v>894</v>
      </c>
      <c r="B55" s="2">
        <v>45204</v>
      </c>
      <c r="C55" t="s">
        <v>589</v>
      </c>
      <c r="D55" s="4">
        <v>4</v>
      </c>
      <c r="E55" s="1">
        <v>206.93</v>
      </c>
      <c r="F55" s="1">
        <v>827.72</v>
      </c>
      <c r="G55" t="s">
        <v>172</v>
      </c>
      <c r="H55" t="s">
        <v>28</v>
      </c>
      <c r="I55" t="s">
        <v>45</v>
      </c>
      <c r="J55">
        <v>152.51999999999998</v>
      </c>
      <c r="BM55" t="s">
        <v>19</v>
      </c>
      <c r="BN55" t="s">
        <v>357</v>
      </c>
      <c r="BO55" t="s">
        <v>358</v>
      </c>
      <c r="BP55">
        <v>168.8</v>
      </c>
      <c r="BQ55">
        <v>123.63</v>
      </c>
      <c r="BR55">
        <v>237.48</v>
      </c>
      <c r="BS55">
        <v>206.93</v>
      </c>
      <c r="BT55">
        <v>299.92</v>
      </c>
      <c r="BU55">
        <v>9.81</v>
      </c>
      <c r="BV55">
        <v>38.76</v>
      </c>
      <c r="BW55">
        <v>7.67</v>
      </c>
      <c r="BX55">
        <v>0</v>
      </c>
      <c r="BY55">
        <v>0</v>
      </c>
      <c r="BZ55">
        <v>8.7899999999999991</v>
      </c>
      <c r="CA55">
        <v>68.58</v>
      </c>
      <c r="CB55">
        <v>2.79</v>
      </c>
      <c r="CC55">
        <v>675.2</v>
      </c>
    </row>
    <row r="56" spans="1:81" x14ac:dyDescent="0.25">
      <c r="A56">
        <v>894</v>
      </c>
      <c r="B56" s="2">
        <v>45205</v>
      </c>
      <c r="C56" t="s">
        <v>383</v>
      </c>
      <c r="D56" s="4">
        <v>8</v>
      </c>
      <c r="E56" s="1">
        <v>123.63</v>
      </c>
      <c r="F56" s="1">
        <v>989.04</v>
      </c>
      <c r="G56" t="s">
        <v>172</v>
      </c>
      <c r="H56" t="s">
        <v>28</v>
      </c>
      <c r="I56" t="s">
        <v>45</v>
      </c>
      <c r="J56">
        <v>313.83999999999992</v>
      </c>
      <c r="BM56" t="s">
        <v>18</v>
      </c>
      <c r="BN56" t="s">
        <v>357</v>
      </c>
      <c r="BO56" t="s">
        <v>358</v>
      </c>
      <c r="BP56">
        <v>84.4</v>
      </c>
      <c r="BQ56">
        <v>123.63</v>
      </c>
      <c r="BR56">
        <v>237.48</v>
      </c>
      <c r="BS56">
        <v>206.93</v>
      </c>
      <c r="BT56">
        <v>299.92</v>
      </c>
      <c r="BU56">
        <v>9.81</v>
      </c>
      <c r="BV56">
        <v>38.76</v>
      </c>
      <c r="BW56">
        <v>7.67</v>
      </c>
      <c r="BX56">
        <v>0</v>
      </c>
      <c r="BY56">
        <v>0</v>
      </c>
      <c r="BZ56">
        <v>8.7899999999999991</v>
      </c>
      <c r="CA56">
        <v>68.58</v>
      </c>
      <c r="CB56">
        <v>2.79</v>
      </c>
      <c r="CC56">
        <v>675.2</v>
      </c>
    </row>
    <row r="57" spans="1:81" x14ac:dyDescent="0.25">
      <c r="A57">
        <v>894</v>
      </c>
      <c r="B57" s="2">
        <v>45205</v>
      </c>
      <c r="C57" t="s">
        <v>589</v>
      </c>
      <c r="D57" s="4">
        <v>4</v>
      </c>
      <c r="E57" s="1">
        <v>206.93</v>
      </c>
      <c r="F57" s="1">
        <v>827.72</v>
      </c>
      <c r="G57" t="s">
        <v>172</v>
      </c>
      <c r="H57" t="s">
        <v>28</v>
      </c>
      <c r="I57" t="s">
        <v>45</v>
      </c>
      <c r="J57">
        <v>152.51999999999998</v>
      </c>
      <c r="BM57" t="s">
        <v>19</v>
      </c>
      <c r="BN57" t="s">
        <v>357</v>
      </c>
      <c r="BO57" t="s">
        <v>358</v>
      </c>
      <c r="BP57">
        <v>168.8</v>
      </c>
      <c r="BQ57">
        <v>123.63</v>
      </c>
      <c r="BR57">
        <v>237.48</v>
      </c>
      <c r="BS57">
        <v>206.93</v>
      </c>
      <c r="BT57">
        <v>299.92</v>
      </c>
      <c r="BU57">
        <v>9.81</v>
      </c>
      <c r="BV57">
        <v>38.76</v>
      </c>
      <c r="BW57">
        <v>7.67</v>
      </c>
      <c r="BX57">
        <v>0</v>
      </c>
      <c r="BY57">
        <v>0</v>
      </c>
      <c r="BZ57">
        <v>8.7899999999999991</v>
      </c>
      <c r="CA57">
        <v>68.58</v>
      </c>
      <c r="CB57">
        <v>2.79</v>
      </c>
      <c r="CC57">
        <v>675.2</v>
      </c>
    </row>
    <row r="58" spans="1:81" x14ac:dyDescent="0.25">
      <c r="A58">
        <v>894</v>
      </c>
      <c r="B58" s="2">
        <v>45207</v>
      </c>
      <c r="C58" t="s">
        <v>590</v>
      </c>
      <c r="D58" s="4">
        <v>4</v>
      </c>
      <c r="E58" s="1">
        <v>38.76</v>
      </c>
      <c r="F58" s="1">
        <v>155.04</v>
      </c>
      <c r="G58" t="s">
        <v>172</v>
      </c>
      <c r="H58" t="s">
        <v>28</v>
      </c>
      <c r="I58" t="s">
        <v>45</v>
      </c>
      <c r="J58">
        <v>10.679999999999978</v>
      </c>
      <c r="K58" t="s">
        <v>135</v>
      </c>
      <c r="L58" t="s">
        <v>326</v>
      </c>
      <c r="M58" t="s">
        <v>453</v>
      </c>
      <c r="N58" t="s">
        <v>454</v>
      </c>
      <c r="O58" t="s">
        <v>60</v>
      </c>
      <c r="P58" t="s">
        <v>60</v>
      </c>
      <c r="Q58" t="s">
        <v>60</v>
      </c>
      <c r="R58" t="s">
        <v>60</v>
      </c>
      <c r="S58" t="s">
        <v>167</v>
      </c>
      <c r="T58" t="s">
        <v>445</v>
      </c>
      <c r="U58" t="s">
        <v>233</v>
      </c>
      <c r="V58" t="s">
        <v>328</v>
      </c>
      <c r="W58" t="s">
        <v>60</v>
      </c>
      <c r="X58" t="s">
        <v>60</v>
      </c>
      <c r="Y58" t="s">
        <v>55</v>
      </c>
      <c r="Z58" t="s">
        <v>56</v>
      </c>
      <c r="AA58" t="s">
        <v>60</v>
      </c>
      <c r="AB58" t="s">
        <v>60</v>
      </c>
      <c r="AC58" t="s">
        <v>60</v>
      </c>
      <c r="AD58" t="s">
        <v>60</v>
      </c>
      <c r="AE58" t="s">
        <v>60</v>
      </c>
      <c r="AF58" t="s">
        <v>60</v>
      </c>
      <c r="AG58" t="s">
        <v>453</v>
      </c>
      <c r="AH58" t="s">
        <v>455</v>
      </c>
      <c r="AI58">
        <v>4</v>
      </c>
      <c r="AJ58">
        <v>144.36000000000001</v>
      </c>
      <c r="AK58" t="s">
        <v>431</v>
      </c>
      <c r="AL58" t="s">
        <v>432</v>
      </c>
      <c r="AM58" t="s">
        <v>57</v>
      </c>
      <c r="AN58" t="s">
        <v>58</v>
      </c>
      <c r="AO58" t="s">
        <v>60</v>
      </c>
      <c r="AP58" t="s">
        <v>60</v>
      </c>
      <c r="AQ58">
        <v>0</v>
      </c>
      <c r="AR58">
        <v>0</v>
      </c>
      <c r="AS58" t="s">
        <v>60</v>
      </c>
      <c r="AT58" t="s">
        <v>60</v>
      </c>
      <c r="AU58" t="s">
        <v>60</v>
      </c>
      <c r="AV58" t="s">
        <v>59</v>
      </c>
      <c r="AW58" t="s">
        <v>528</v>
      </c>
      <c r="AX58" t="s">
        <v>528</v>
      </c>
      <c r="AY58" t="s">
        <v>530</v>
      </c>
      <c r="AZ58" t="s">
        <v>531</v>
      </c>
      <c r="BA58" t="s">
        <v>529</v>
      </c>
      <c r="BB58" t="s">
        <v>532</v>
      </c>
      <c r="BL58" t="s">
        <v>533</v>
      </c>
      <c r="BM58" t="s">
        <v>13</v>
      </c>
      <c r="BN58" t="s">
        <v>371</v>
      </c>
      <c r="BO58" t="s">
        <v>358</v>
      </c>
      <c r="BP58">
        <v>36.090000000000003</v>
      </c>
      <c r="BQ58">
        <v>123.63</v>
      </c>
      <c r="BR58">
        <v>237.48</v>
      </c>
      <c r="BS58">
        <v>206.93</v>
      </c>
      <c r="BT58">
        <v>299.92</v>
      </c>
      <c r="BU58">
        <v>9.81</v>
      </c>
      <c r="BV58">
        <v>38.76</v>
      </c>
      <c r="BW58">
        <v>7.67</v>
      </c>
      <c r="BX58">
        <v>0</v>
      </c>
      <c r="BY58">
        <v>0</v>
      </c>
      <c r="BZ58">
        <v>8.7899999999999991</v>
      </c>
      <c r="CA58">
        <v>68.58</v>
      </c>
      <c r="CB58">
        <v>2.79</v>
      </c>
      <c r="CC58">
        <v>144.36000000000001</v>
      </c>
    </row>
    <row r="59" spans="1:81" x14ac:dyDescent="0.25">
      <c r="A59">
        <v>894</v>
      </c>
      <c r="B59" s="2">
        <v>45207</v>
      </c>
      <c r="C59" t="s">
        <v>591</v>
      </c>
      <c r="D59" s="4">
        <v>13</v>
      </c>
      <c r="E59" s="1">
        <v>2.79</v>
      </c>
      <c r="F59" s="1">
        <v>36.270000000000003</v>
      </c>
      <c r="G59" t="s">
        <v>172</v>
      </c>
      <c r="H59" t="s">
        <v>28</v>
      </c>
      <c r="I59" t="s">
        <v>45</v>
      </c>
      <c r="J59">
        <v>4.0300000000000011</v>
      </c>
      <c r="K59" t="s">
        <v>135</v>
      </c>
      <c r="L59" t="s">
        <v>326</v>
      </c>
      <c r="M59" t="s">
        <v>453</v>
      </c>
      <c r="N59" t="s">
        <v>454</v>
      </c>
      <c r="O59" t="s">
        <v>60</v>
      </c>
      <c r="P59" t="s">
        <v>60</v>
      </c>
      <c r="Q59" t="s">
        <v>60</v>
      </c>
      <c r="R59" t="s">
        <v>60</v>
      </c>
      <c r="S59" t="s">
        <v>167</v>
      </c>
      <c r="T59" t="s">
        <v>445</v>
      </c>
      <c r="U59" t="s">
        <v>233</v>
      </c>
      <c r="V59" t="s">
        <v>328</v>
      </c>
      <c r="W59" t="s">
        <v>60</v>
      </c>
      <c r="X59" t="s">
        <v>60</v>
      </c>
      <c r="Y59" t="s">
        <v>55</v>
      </c>
      <c r="Z59" t="s">
        <v>56</v>
      </c>
      <c r="AA59" t="s">
        <v>60</v>
      </c>
      <c r="AB59" t="s">
        <v>60</v>
      </c>
      <c r="AC59" t="s">
        <v>60</v>
      </c>
      <c r="AD59" t="s">
        <v>60</v>
      </c>
      <c r="AE59" t="s">
        <v>60</v>
      </c>
      <c r="AF59" t="s">
        <v>60</v>
      </c>
      <c r="AI59" t="s">
        <v>133</v>
      </c>
      <c r="AJ59" t="s">
        <v>331</v>
      </c>
      <c r="AK59" t="s">
        <v>431</v>
      </c>
      <c r="AL59" t="s">
        <v>432</v>
      </c>
      <c r="AM59" t="s">
        <v>57</v>
      </c>
      <c r="AN59" t="s">
        <v>58</v>
      </c>
      <c r="AO59" t="s">
        <v>60</v>
      </c>
      <c r="AP59" t="s">
        <v>60</v>
      </c>
      <c r="AQ59" t="s">
        <v>60</v>
      </c>
      <c r="AR59" t="s">
        <v>60</v>
      </c>
      <c r="AV59" t="s">
        <v>59</v>
      </c>
      <c r="BB59" t="s">
        <v>532</v>
      </c>
      <c r="BL59" t="s">
        <v>533</v>
      </c>
      <c r="BM59" t="s">
        <v>14</v>
      </c>
      <c r="BN59" t="s">
        <v>371</v>
      </c>
      <c r="BO59" t="s">
        <v>358</v>
      </c>
      <c r="BP59">
        <v>2.48</v>
      </c>
      <c r="BQ59">
        <v>123.63</v>
      </c>
      <c r="BR59">
        <v>237.48</v>
      </c>
      <c r="BS59">
        <v>206.93</v>
      </c>
      <c r="BT59">
        <v>299.92</v>
      </c>
      <c r="BU59">
        <v>9.81</v>
      </c>
      <c r="BV59">
        <v>38.76</v>
      </c>
      <c r="BW59">
        <v>7.67</v>
      </c>
      <c r="BX59">
        <v>0</v>
      </c>
      <c r="BY59">
        <v>0</v>
      </c>
      <c r="BZ59">
        <v>8.7899999999999991</v>
      </c>
      <c r="CA59">
        <v>68.58</v>
      </c>
      <c r="CB59">
        <v>2.79</v>
      </c>
      <c r="CC59">
        <v>32.24</v>
      </c>
    </row>
    <row r="60" spans="1:81" x14ac:dyDescent="0.25">
      <c r="A60">
        <v>894</v>
      </c>
      <c r="B60" s="2">
        <v>45207</v>
      </c>
      <c r="C60" t="s">
        <v>384</v>
      </c>
      <c r="D60" s="4">
        <v>45</v>
      </c>
      <c r="E60" s="1">
        <v>9.81</v>
      </c>
      <c r="F60" s="1">
        <v>441.45000000000005</v>
      </c>
      <c r="G60" t="s">
        <v>172</v>
      </c>
      <c r="H60" t="s">
        <v>28</v>
      </c>
      <c r="I60" t="s">
        <v>45</v>
      </c>
      <c r="J60">
        <v>94.950000000000045</v>
      </c>
      <c r="K60" t="s">
        <v>135</v>
      </c>
      <c r="L60" t="s">
        <v>326</v>
      </c>
      <c r="M60" t="s">
        <v>453</v>
      </c>
      <c r="N60" t="s">
        <v>454</v>
      </c>
      <c r="O60" t="s">
        <v>60</v>
      </c>
      <c r="P60" t="s">
        <v>60</v>
      </c>
      <c r="Q60" t="s">
        <v>60</v>
      </c>
      <c r="R60" t="s">
        <v>60</v>
      </c>
      <c r="S60" t="s">
        <v>167</v>
      </c>
      <c r="T60" t="s">
        <v>445</v>
      </c>
      <c r="U60" t="s">
        <v>233</v>
      </c>
      <c r="V60" t="s">
        <v>328</v>
      </c>
      <c r="W60" t="s">
        <v>60</v>
      </c>
      <c r="X60" t="s">
        <v>60</v>
      </c>
      <c r="Y60" t="s">
        <v>55</v>
      </c>
      <c r="Z60" t="s">
        <v>56</v>
      </c>
      <c r="AA60" t="s">
        <v>60</v>
      </c>
      <c r="AB60" t="s">
        <v>60</v>
      </c>
      <c r="AC60" t="s">
        <v>60</v>
      </c>
      <c r="AD60" t="s">
        <v>60</v>
      </c>
      <c r="AE60" t="s">
        <v>60</v>
      </c>
      <c r="AF60" t="s">
        <v>60</v>
      </c>
      <c r="AG60" t="s">
        <v>453</v>
      </c>
      <c r="AH60" t="s">
        <v>455</v>
      </c>
      <c r="AI60" t="s">
        <v>133</v>
      </c>
      <c r="AJ60" t="s">
        <v>331</v>
      </c>
      <c r="AK60" t="s">
        <v>431</v>
      </c>
      <c r="AL60" t="s">
        <v>432</v>
      </c>
      <c r="AM60" t="s">
        <v>57</v>
      </c>
      <c r="AN60" t="s">
        <v>58</v>
      </c>
      <c r="AV60" t="s">
        <v>59</v>
      </c>
      <c r="BM60" t="s">
        <v>22</v>
      </c>
      <c r="BN60" t="s">
        <v>371</v>
      </c>
      <c r="BO60" t="s">
        <v>358</v>
      </c>
      <c r="BP60">
        <v>7.7</v>
      </c>
      <c r="BQ60">
        <v>123.63</v>
      </c>
      <c r="BR60">
        <v>237.48</v>
      </c>
      <c r="BS60">
        <v>206.93</v>
      </c>
      <c r="BT60">
        <v>299.92</v>
      </c>
      <c r="BU60">
        <v>9.81</v>
      </c>
      <c r="BV60">
        <v>38.76</v>
      </c>
      <c r="BW60">
        <v>7.67</v>
      </c>
      <c r="BX60">
        <v>0</v>
      </c>
      <c r="BY60">
        <v>0</v>
      </c>
      <c r="BZ60">
        <v>8.7899999999999991</v>
      </c>
      <c r="CA60">
        <v>68.58</v>
      </c>
      <c r="CB60">
        <v>2.79</v>
      </c>
      <c r="CC60">
        <v>346.5</v>
      </c>
    </row>
    <row r="61" spans="1:81" x14ac:dyDescent="0.25">
      <c r="A61">
        <v>894</v>
      </c>
      <c r="B61" s="2">
        <v>45207</v>
      </c>
      <c r="C61" t="s">
        <v>385</v>
      </c>
      <c r="D61" s="4">
        <v>5</v>
      </c>
      <c r="E61" s="1">
        <v>68.58</v>
      </c>
      <c r="F61" s="1">
        <v>342.9</v>
      </c>
      <c r="G61" t="s">
        <v>172</v>
      </c>
      <c r="H61" t="s">
        <v>28</v>
      </c>
      <c r="I61" t="s">
        <v>45</v>
      </c>
      <c r="J61">
        <v>67.899999999999977</v>
      </c>
      <c r="K61" t="s">
        <v>135</v>
      </c>
      <c r="L61" t="s">
        <v>326</v>
      </c>
      <c r="M61" t="s">
        <v>453</v>
      </c>
      <c r="N61" t="s">
        <v>454</v>
      </c>
      <c r="O61" t="s">
        <v>60</v>
      </c>
      <c r="P61" t="s">
        <v>60</v>
      </c>
      <c r="Q61" t="s">
        <v>60</v>
      </c>
      <c r="R61" t="s">
        <v>60</v>
      </c>
      <c r="S61" t="s">
        <v>167</v>
      </c>
      <c r="T61" t="s">
        <v>445</v>
      </c>
      <c r="U61" t="s">
        <v>233</v>
      </c>
      <c r="V61" t="s">
        <v>328</v>
      </c>
      <c r="W61" t="s">
        <v>60</v>
      </c>
      <c r="X61" t="s">
        <v>60</v>
      </c>
      <c r="Y61" t="s">
        <v>55</v>
      </c>
      <c r="Z61" t="s">
        <v>56</v>
      </c>
      <c r="AA61" t="s">
        <v>60</v>
      </c>
      <c r="AB61" t="s">
        <v>60</v>
      </c>
      <c r="AC61" t="s">
        <v>60</v>
      </c>
      <c r="AD61" t="s">
        <v>60</v>
      </c>
      <c r="AE61" t="s">
        <v>60</v>
      </c>
      <c r="AF61" t="s">
        <v>60</v>
      </c>
      <c r="AG61" t="s">
        <v>453</v>
      </c>
      <c r="AH61" t="s">
        <v>455</v>
      </c>
      <c r="AI61" t="s">
        <v>133</v>
      </c>
      <c r="AJ61" t="s">
        <v>331</v>
      </c>
      <c r="AK61">
        <v>5</v>
      </c>
      <c r="AL61">
        <v>275</v>
      </c>
      <c r="AM61" t="s">
        <v>57</v>
      </c>
      <c r="AN61" t="s">
        <v>58</v>
      </c>
      <c r="AO61">
        <v>0</v>
      </c>
      <c r="AP61">
        <v>0</v>
      </c>
      <c r="AQ61" t="s">
        <v>60</v>
      </c>
      <c r="AR61" t="s">
        <v>60</v>
      </c>
      <c r="AS61" t="s">
        <v>60</v>
      </c>
      <c r="AT61" t="s">
        <v>60</v>
      </c>
      <c r="AU61" t="s">
        <v>60</v>
      </c>
      <c r="AV61" t="s">
        <v>59</v>
      </c>
      <c r="AW61" t="s">
        <v>528</v>
      </c>
      <c r="AX61" t="s">
        <v>528</v>
      </c>
      <c r="AY61" t="s">
        <v>530</v>
      </c>
      <c r="AZ61" t="s">
        <v>531</v>
      </c>
      <c r="BA61" t="s">
        <v>529</v>
      </c>
      <c r="BB61" t="s">
        <v>532</v>
      </c>
      <c r="BC61" t="s">
        <v>121</v>
      </c>
      <c r="BD61" t="s">
        <v>568</v>
      </c>
      <c r="BE61" t="s">
        <v>60</v>
      </c>
      <c r="BF61" t="s">
        <v>60</v>
      </c>
      <c r="BG61" t="s">
        <v>60</v>
      </c>
      <c r="BH61" t="s">
        <v>60</v>
      </c>
      <c r="BI61" t="s">
        <v>60</v>
      </c>
      <c r="BJ61" t="s">
        <v>60</v>
      </c>
      <c r="BK61" t="s">
        <v>60</v>
      </c>
      <c r="BL61" t="s">
        <v>533</v>
      </c>
      <c r="BM61" t="s">
        <v>25</v>
      </c>
      <c r="BN61" t="s">
        <v>371</v>
      </c>
      <c r="BO61" t="s">
        <v>358</v>
      </c>
      <c r="BP61">
        <v>55</v>
      </c>
      <c r="BQ61">
        <v>123.63</v>
      </c>
      <c r="BR61">
        <v>237.48</v>
      </c>
      <c r="BS61">
        <v>206.93</v>
      </c>
      <c r="BT61">
        <v>299.92</v>
      </c>
      <c r="BU61">
        <v>9.81</v>
      </c>
      <c r="BV61">
        <v>38.76</v>
      </c>
      <c r="BW61">
        <v>7.67</v>
      </c>
      <c r="BX61">
        <v>0</v>
      </c>
      <c r="BY61">
        <v>0</v>
      </c>
      <c r="BZ61">
        <v>8.7899999999999991</v>
      </c>
      <c r="CA61">
        <v>68.58</v>
      </c>
      <c r="CB61">
        <v>2.79</v>
      </c>
      <c r="CC61">
        <v>275</v>
      </c>
    </row>
    <row r="62" spans="1:81" x14ac:dyDescent="0.25">
      <c r="A62">
        <v>794</v>
      </c>
      <c r="B62" s="2">
        <v>45202</v>
      </c>
      <c r="C62" t="s">
        <v>411</v>
      </c>
      <c r="D62" s="4">
        <v>8</v>
      </c>
      <c r="E62" s="1">
        <v>123.63</v>
      </c>
      <c r="F62" s="1">
        <v>989.04</v>
      </c>
      <c r="G62" t="s">
        <v>172</v>
      </c>
      <c r="H62" t="s">
        <v>28</v>
      </c>
      <c r="I62" t="s">
        <v>45</v>
      </c>
      <c r="J62">
        <v>313.83999999999992</v>
      </c>
      <c r="BM62" t="s">
        <v>18</v>
      </c>
      <c r="BN62" t="s">
        <v>324</v>
      </c>
      <c r="BO62" t="s">
        <v>325</v>
      </c>
      <c r="BP62">
        <v>84.4</v>
      </c>
      <c r="BQ62">
        <v>123.63</v>
      </c>
      <c r="BR62">
        <v>237.48</v>
      </c>
      <c r="BS62">
        <v>206.93</v>
      </c>
      <c r="BT62">
        <v>299.92</v>
      </c>
      <c r="BU62">
        <v>9.81</v>
      </c>
      <c r="BV62">
        <v>38.76</v>
      </c>
      <c r="BW62">
        <v>7.67</v>
      </c>
      <c r="BX62">
        <v>0</v>
      </c>
      <c r="BY62">
        <v>0</v>
      </c>
      <c r="BZ62">
        <v>8.7899999999999991</v>
      </c>
      <c r="CA62">
        <v>68.58</v>
      </c>
      <c r="CB62">
        <v>2.79</v>
      </c>
      <c r="CC62">
        <v>675.2</v>
      </c>
    </row>
    <row r="63" spans="1:81" x14ac:dyDescent="0.25">
      <c r="A63">
        <v>794</v>
      </c>
      <c r="B63" s="2">
        <v>45202</v>
      </c>
      <c r="C63" t="s">
        <v>412</v>
      </c>
      <c r="D63" s="4">
        <v>4</v>
      </c>
      <c r="E63" s="1">
        <v>206.93</v>
      </c>
      <c r="F63" s="1">
        <v>827.72</v>
      </c>
      <c r="G63" t="s">
        <v>172</v>
      </c>
      <c r="H63" t="s">
        <v>28</v>
      </c>
      <c r="I63" t="s">
        <v>45</v>
      </c>
      <c r="J63">
        <v>152.51999999999998</v>
      </c>
      <c r="BM63" t="s">
        <v>19</v>
      </c>
      <c r="BN63" t="s">
        <v>324</v>
      </c>
      <c r="BO63" t="s">
        <v>325</v>
      </c>
      <c r="BP63">
        <v>168.8</v>
      </c>
      <c r="BQ63">
        <v>123.63</v>
      </c>
      <c r="BR63">
        <v>237.48</v>
      </c>
      <c r="BS63">
        <v>206.93</v>
      </c>
      <c r="BT63">
        <v>299.92</v>
      </c>
      <c r="BU63">
        <v>9.81</v>
      </c>
      <c r="BV63">
        <v>38.76</v>
      </c>
      <c r="BW63">
        <v>7.67</v>
      </c>
      <c r="BX63">
        <v>0</v>
      </c>
      <c r="BY63">
        <v>0</v>
      </c>
      <c r="BZ63">
        <v>8.7899999999999991</v>
      </c>
      <c r="CA63">
        <v>68.58</v>
      </c>
      <c r="CB63">
        <v>2.79</v>
      </c>
      <c r="CC63">
        <v>675.2</v>
      </c>
    </row>
    <row r="64" spans="1:81" x14ac:dyDescent="0.25">
      <c r="A64">
        <v>794</v>
      </c>
      <c r="B64" s="2">
        <v>45203</v>
      </c>
      <c r="C64" t="s">
        <v>411</v>
      </c>
      <c r="D64" s="4">
        <v>8</v>
      </c>
      <c r="E64" s="1">
        <v>123.63</v>
      </c>
      <c r="F64" s="1">
        <v>989.04</v>
      </c>
      <c r="G64" t="s">
        <v>172</v>
      </c>
      <c r="H64" t="s">
        <v>28</v>
      </c>
      <c r="I64" t="s">
        <v>45</v>
      </c>
      <c r="J64">
        <v>313.83999999999992</v>
      </c>
      <c r="BM64" t="s">
        <v>18</v>
      </c>
      <c r="BN64" t="s">
        <v>324</v>
      </c>
      <c r="BO64" t="s">
        <v>325</v>
      </c>
      <c r="BP64">
        <v>84.4</v>
      </c>
      <c r="BQ64">
        <v>123.63</v>
      </c>
      <c r="BR64">
        <v>237.48</v>
      </c>
      <c r="BS64">
        <v>206.93</v>
      </c>
      <c r="BT64">
        <v>299.92</v>
      </c>
      <c r="BU64">
        <v>9.81</v>
      </c>
      <c r="BV64">
        <v>38.76</v>
      </c>
      <c r="BW64">
        <v>7.67</v>
      </c>
      <c r="BX64">
        <v>0</v>
      </c>
      <c r="BY64">
        <v>0</v>
      </c>
      <c r="BZ64">
        <v>8.7899999999999991</v>
      </c>
      <c r="CA64">
        <v>68.58</v>
      </c>
      <c r="CB64">
        <v>2.79</v>
      </c>
      <c r="CC64">
        <v>675.2</v>
      </c>
    </row>
    <row r="65" spans="1:81" x14ac:dyDescent="0.25">
      <c r="A65">
        <v>794</v>
      </c>
      <c r="B65" s="2">
        <v>45203</v>
      </c>
      <c r="C65" t="s">
        <v>412</v>
      </c>
      <c r="D65" s="4">
        <v>4</v>
      </c>
      <c r="E65" s="1">
        <v>206.93</v>
      </c>
      <c r="F65" s="1">
        <v>827.72</v>
      </c>
      <c r="G65" t="s">
        <v>172</v>
      </c>
      <c r="H65" t="s">
        <v>28</v>
      </c>
      <c r="I65" t="s">
        <v>45</v>
      </c>
      <c r="J65">
        <v>152.51999999999998</v>
      </c>
      <c r="BM65" t="s">
        <v>19</v>
      </c>
      <c r="BN65" t="s">
        <v>324</v>
      </c>
      <c r="BO65" t="s">
        <v>325</v>
      </c>
      <c r="BP65">
        <v>168.8</v>
      </c>
      <c r="BQ65">
        <v>123.63</v>
      </c>
      <c r="BR65">
        <v>237.48</v>
      </c>
      <c r="BS65">
        <v>206.93</v>
      </c>
      <c r="BT65">
        <v>299.92</v>
      </c>
      <c r="BU65">
        <v>9.81</v>
      </c>
      <c r="BV65">
        <v>38.76</v>
      </c>
      <c r="BW65">
        <v>7.67</v>
      </c>
      <c r="BX65">
        <v>0</v>
      </c>
      <c r="BY65">
        <v>0</v>
      </c>
      <c r="BZ65">
        <v>8.7899999999999991</v>
      </c>
      <c r="CA65">
        <v>68.58</v>
      </c>
      <c r="CB65">
        <v>2.79</v>
      </c>
      <c r="CC65">
        <v>675.2</v>
      </c>
    </row>
    <row r="66" spans="1:81" x14ac:dyDescent="0.25">
      <c r="A66">
        <v>794</v>
      </c>
      <c r="B66" s="2">
        <v>45204</v>
      </c>
      <c r="C66" t="s">
        <v>411</v>
      </c>
      <c r="D66" s="4">
        <v>8</v>
      </c>
      <c r="E66" s="1">
        <v>123.63</v>
      </c>
      <c r="F66" s="1">
        <v>989.04</v>
      </c>
      <c r="G66" t="s">
        <v>172</v>
      </c>
      <c r="H66" t="s">
        <v>28</v>
      </c>
      <c r="I66" t="s">
        <v>45</v>
      </c>
      <c r="J66">
        <v>313.83999999999992</v>
      </c>
      <c r="BM66" t="s">
        <v>18</v>
      </c>
      <c r="BN66" t="s">
        <v>324</v>
      </c>
      <c r="BO66" t="s">
        <v>325</v>
      </c>
      <c r="BP66">
        <v>84.4</v>
      </c>
      <c r="BQ66">
        <v>123.63</v>
      </c>
      <c r="BR66">
        <v>237.48</v>
      </c>
      <c r="BS66">
        <v>206.93</v>
      </c>
      <c r="BT66">
        <v>299.92</v>
      </c>
      <c r="BU66">
        <v>9.81</v>
      </c>
      <c r="BV66">
        <v>38.76</v>
      </c>
      <c r="BW66">
        <v>7.67</v>
      </c>
      <c r="BX66">
        <v>0</v>
      </c>
      <c r="BY66">
        <v>0</v>
      </c>
      <c r="BZ66">
        <v>8.7899999999999991</v>
      </c>
      <c r="CA66">
        <v>68.58</v>
      </c>
      <c r="CB66">
        <v>2.79</v>
      </c>
      <c r="CC66">
        <v>675.2</v>
      </c>
    </row>
    <row r="67" spans="1:81" x14ac:dyDescent="0.25">
      <c r="A67">
        <v>794</v>
      </c>
      <c r="B67" s="2">
        <v>45204</v>
      </c>
      <c r="C67" t="s">
        <v>412</v>
      </c>
      <c r="D67" s="4">
        <v>4</v>
      </c>
      <c r="E67" s="1">
        <v>206.93</v>
      </c>
      <c r="F67" s="1">
        <v>827.72</v>
      </c>
      <c r="G67" t="s">
        <v>172</v>
      </c>
      <c r="H67" t="s">
        <v>28</v>
      </c>
      <c r="I67" t="s">
        <v>45</v>
      </c>
      <c r="J67">
        <v>152.51999999999998</v>
      </c>
      <c r="BM67" t="s">
        <v>19</v>
      </c>
      <c r="BN67" t="s">
        <v>324</v>
      </c>
      <c r="BO67" t="s">
        <v>325</v>
      </c>
      <c r="BP67">
        <v>168.8</v>
      </c>
      <c r="BQ67">
        <v>123.63</v>
      </c>
      <c r="BR67">
        <v>237.48</v>
      </c>
      <c r="BS67">
        <v>206.93</v>
      </c>
      <c r="BT67">
        <v>299.92</v>
      </c>
      <c r="BU67">
        <v>9.81</v>
      </c>
      <c r="BV67">
        <v>38.76</v>
      </c>
      <c r="BW67">
        <v>7.67</v>
      </c>
      <c r="BX67">
        <v>0</v>
      </c>
      <c r="BY67">
        <v>0</v>
      </c>
      <c r="BZ67">
        <v>8.7899999999999991</v>
      </c>
      <c r="CA67">
        <v>68.58</v>
      </c>
      <c r="CB67">
        <v>2.79</v>
      </c>
      <c r="CC67">
        <v>675.2</v>
      </c>
    </row>
    <row r="68" spans="1:81" x14ac:dyDescent="0.25">
      <c r="A68">
        <v>794</v>
      </c>
      <c r="B68" s="2">
        <v>45205</v>
      </c>
      <c r="C68" t="s">
        <v>411</v>
      </c>
      <c r="D68" s="4">
        <v>8</v>
      </c>
      <c r="E68" s="1">
        <v>123.63</v>
      </c>
      <c r="F68" s="1">
        <v>989.04</v>
      </c>
      <c r="G68" t="s">
        <v>172</v>
      </c>
      <c r="H68" t="s">
        <v>28</v>
      </c>
      <c r="I68" t="s">
        <v>45</v>
      </c>
      <c r="J68">
        <v>313.83999999999992</v>
      </c>
      <c r="BM68" t="s">
        <v>18</v>
      </c>
      <c r="BN68" t="s">
        <v>324</v>
      </c>
      <c r="BO68" t="s">
        <v>325</v>
      </c>
      <c r="BP68">
        <v>84.4</v>
      </c>
      <c r="BQ68">
        <v>123.63</v>
      </c>
      <c r="BR68">
        <v>237.48</v>
      </c>
      <c r="BS68">
        <v>206.93</v>
      </c>
      <c r="BT68">
        <v>299.92</v>
      </c>
      <c r="BU68">
        <v>9.81</v>
      </c>
      <c r="BV68">
        <v>38.76</v>
      </c>
      <c r="BW68">
        <v>7.67</v>
      </c>
      <c r="BX68">
        <v>0</v>
      </c>
      <c r="BY68">
        <v>0</v>
      </c>
      <c r="BZ68">
        <v>8.7899999999999991</v>
      </c>
      <c r="CA68">
        <v>68.58</v>
      </c>
      <c r="CB68">
        <v>2.79</v>
      </c>
      <c r="CC68">
        <v>675.2</v>
      </c>
    </row>
    <row r="69" spans="1:81" x14ac:dyDescent="0.25">
      <c r="A69">
        <v>794</v>
      </c>
      <c r="B69" s="2">
        <v>45205</v>
      </c>
      <c r="C69" t="s">
        <v>412</v>
      </c>
      <c r="D69" s="4">
        <v>4</v>
      </c>
      <c r="E69" s="1">
        <v>206.93</v>
      </c>
      <c r="F69" s="1">
        <v>827.72</v>
      </c>
      <c r="G69" t="s">
        <v>172</v>
      </c>
      <c r="H69" t="s">
        <v>28</v>
      </c>
      <c r="I69" t="s">
        <v>45</v>
      </c>
      <c r="J69">
        <v>152.51999999999998</v>
      </c>
      <c r="BM69" t="s">
        <v>19</v>
      </c>
      <c r="BN69" t="s">
        <v>324</v>
      </c>
      <c r="BO69" t="s">
        <v>325</v>
      </c>
      <c r="BP69">
        <v>168.8</v>
      </c>
      <c r="BQ69">
        <v>123.63</v>
      </c>
      <c r="BR69">
        <v>237.48</v>
      </c>
      <c r="BS69">
        <v>206.93</v>
      </c>
      <c r="BT69">
        <v>299.92</v>
      </c>
      <c r="BU69">
        <v>9.81</v>
      </c>
      <c r="BV69">
        <v>38.76</v>
      </c>
      <c r="BW69">
        <v>7.67</v>
      </c>
      <c r="BX69">
        <v>0</v>
      </c>
      <c r="BY69">
        <v>0</v>
      </c>
      <c r="BZ69">
        <v>8.7899999999999991</v>
      </c>
      <c r="CA69">
        <v>68.58</v>
      </c>
      <c r="CB69">
        <v>2.79</v>
      </c>
      <c r="CC69">
        <v>675.2</v>
      </c>
    </row>
    <row r="70" spans="1:81" x14ac:dyDescent="0.25">
      <c r="A70">
        <v>794</v>
      </c>
      <c r="B70" s="2">
        <v>45206</v>
      </c>
      <c r="C70" t="s">
        <v>412</v>
      </c>
      <c r="D70" s="4">
        <v>8</v>
      </c>
      <c r="E70" s="1">
        <v>206.93</v>
      </c>
      <c r="F70" s="1">
        <v>1655.44</v>
      </c>
      <c r="G70" t="s">
        <v>172</v>
      </c>
      <c r="H70" t="s">
        <v>28</v>
      </c>
      <c r="I70" t="s">
        <v>45</v>
      </c>
      <c r="J70">
        <v>305.03999999999996</v>
      </c>
      <c r="BM70" t="s">
        <v>19</v>
      </c>
      <c r="BN70" t="s">
        <v>324</v>
      </c>
      <c r="BO70" t="s">
        <v>325</v>
      </c>
      <c r="BP70">
        <v>168.8</v>
      </c>
      <c r="BQ70">
        <v>123.63</v>
      </c>
      <c r="BR70">
        <v>237.48</v>
      </c>
      <c r="BS70">
        <v>206.93</v>
      </c>
      <c r="BT70">
        <v>299.92</v>
      </c>
      <c r="BU70">
        <v>9.81</v>
      </c>
      <c r="BV70">
        <v>38.76</v>
      </c>
      <c r="BW70">
        <v>7.67</v>
      </c>
      <c r="BX70">
        <v>0</v>
      </c>
      <c r="BY70">
        <v>0</v>
      </c>
      <c r="BZ70">
        <v>8.7899999999999991</v>
      </c>
      <c r="CA70">
        <v>68.58</v>
      </c>
      <c r="CB70">
        <v>2.79</v>
      </c>
      <c r="CC70">
        <v>1350.4</v>
      </c>
    </row>
    <row r="71" spans="1:81" x14ac:dyDescent="0.25">
      <c r="A71">
        <v>794</v>
      </c>
      <c r="B71" s="2">
        <v>45207</v>
      </c>
      <c r="C71" t="s">
        <v>413</v>
      </c>
      <c r="D71" s="4">
        <v>6</v>
      </c>
      <c r="E71" s="1">
        <v>38.76</v>
      </c>
      <c r="F71" s="1">
        <v>232.56</v>
      </c>
      <c r="G71" t="s">
        <v>172</v>
      </c>
      <c r="H71" t="s">
        <v>28</v>
      </c>
      <c r="I71" t="s">
        <v>45</v>
      </c>
      <c r="J71">
        <v>16.02000000000001</v>
      </c>
      <c r="K71" t="s">
        <v>135</v>
      </c>
      <c r="L71" t="s">
        <v>326</v>
      </c>
      <c r="M71" t="s">
        <v>372</v>
      </c>
      <c r="N71" t="s">
        <v>373</v>
      </c>
      <c r="O71" t="s">
        <v>60</v>
      </c>
      <c r="P71" t="s">
        <v>60</v>
      </c>
      <c r="Q71" t="s">
        <v>60</v>
      </c>
      <c r="R71" t="s">
        <v>60</v>
      </c>
      <c r="S71" t="s">
        <v>90</v>
      </c>
      <c r="T71" t="s">
        <v>327</v>
      </c>
      <c r="U71" t="s">
        <v>233</v>
      </c>
      <c r="V71" t="s">
        <v>328</v>
      </c>
      <c r="W71" t="s">
        <v>60</v>
      </c>
      <c r="X71" t="s">
        <v>60</v>
      </c>
      <c r="Y71" t="s">
        <v>55</v>
      </c>
      <c r="Z71" t="s">
        <v>56</v>
      </c>
      <c r="AA71" t="s">
        <v>60</v>
      </c>
      <c r="AB71" t="s">
        <v>60</v>
      </c>
      <c r="AC71" t="s">
        <v>60</v>
      </c>
      <c r="AD71" t="s">
        <v>60</v>
      </c>
      <c r="AE71" t="s">
        <v>60</v>
      </c>
      <c r="AF71" t="s">
        <v>60</v>
      </c>
      <c r="AG71" t="s">
        <v>372</v>
      </c>
      <c r="AH71" t="s">
        <v>458</v>
      </c>
      <c r="AI71">
        <v>6</v>
      </c>
      <c r="AJ71">
        <v>216.54</v>
      </c>
      <c r="AK71" t="s">
        <v>167</v>
      </c>
      <c r="AL71" t="s">
        <v>434</v>
      </c>
      <c r="AM71" t="s">
        <v>57</v>
      </c>
      <c r="AN71" t="s">
        <v>58</v>
      </c>
      <c r="AO71" t="s">
        <v>60</v>
      </c>
      <c r="AP71" t="s">
        <v>60</v>
      </c>
      <c r="AQ71">
        <v>0</v>
      </c>
      <c r="AR71">
        <v>0</v>
      </c>
      <c r="AS71" t="s">
        <v>60</v>
      </c>
      <c r="AT71" t="s">
        <v>60</v>
      </c>
      <c r="AU71" t="s">
        <v>60</v>
      </c>
      <c r="AV71" t="s">
        <v>59</v>
      </c>
      <c r="AW71" t="s">
        <v>546</v>
      </c>
      <c r="AX71" t="s">
        <v>546</v>
      </c>
      <c r="AY71" t="s">
        <v>548</v>
      </c>
      <c r="AZ71" t="s">
        <v>549</v>
      </c>
      <c r="BA71" t="s">
        <v>547</v>
      </c>
      <c r="BB71" t="s">
        <v>550</v>
      </c>
      <c r="BL71" t="s">
        <v>551</v>
      </c>
      <c r="BM71" t="s">
        <v>13</v>
      </c>
      <c r="BN71" t="s">
        <v>391</v>
      </c>
      <c r="BO71" t="s">
        <v>325</v>
      </c>
      <c r="BP71">
        <v>36.089999999999996</v>
      </c>
      <c r="BQ71">
        <v>123.63</v>
      </c>
      <c r="BR71">
        <v>237.48</v>
      </c>
      <c r="BS71">
        <v>206.93</v>
      </c>
      <c r="BT71">
        <v>299.92</v>
      </c>
      <c r="BU71">
        <v>9.81</v>
      </c>
      <c r="BV71">
        <v>38.76</v>
      </c>
      <c r="BW71">
        <v>7.67</v>
      </c>
      <c r="BX71">
        <v>0</v>
      </c>
      <c r="BY71">
        <v>0</v>
      </c>
      <c r="BZ71">
        <v>8.7899999999999991</v>
      </c>
      <c r="CA71">
        <v>68.58</v>
      </c>
      <c r="CB71">
        <v>2.79</v>
      </c>
      <c r="CC71">
        <v>216.54</v>
      </c>
    </row>
    <row r="72" spans="1:81" x14ac:dyDescent="0.25">
      <c r="A72">
        <v>794</v>
      </c>
      <c r="B72" s="2">
        <v>45207</v>
      </c>
      <c r="C72" t="s">
        <v>414</v>
      </c>
      <c r="D72" s="4">
        <v>24</v>
      </c>
      <c r="E72" s="1">
        <v>2.79</v>
      </c>
      <c r="F72" s="1">
        <v>66.960000000000008</v>
      </c>
      <c r="G72" t="s">
        <v>172</v>
      </c>
      <c r="H72" t="s">
        <v>28</v>
      </c>
      <c r="I72" t="s">
        <v>45</v>
      </c>
      <c r="J72">
        <v>7.4400000000000048</v>
      </c>
      <c r="K72" t="s">
        <v>135</v>
      </c>
      <c r="L72" t="s">
        <v>326</v>
      </c>
      <c r="M72" t="s">
        <v>372</v>
      </c>
      <c r="N72" t="s">
        <v>373</v>
      </c>
      <c r="O72" t="s">
        <v>60</v>
      </c>
      <c r="P72" t="s">
        <v>60</v>
      </c>
      <c r="Q72" t="s">
        <v>60</v>
      </c>
      <c r="R72" t="s">
        <v>60</v>
      </c>
      <c r="S72" t="s">
        <v>90</v>
      </c>
      <c r="T72" t="s">
        <v>327</v>
      </c>
      <c r="U72" t="s">
        <v>233</v>
      </c>
      <c r="V72" t="s">
        <v>328</v>
      </c>
      <c r="W72" t="s">
        <v>60</v>
      </c>
      <c r="X72" t="s">
        <v>60</v>
      </c>
      <c r="Y72" t="s">
        <v>55</v>
      </c>
      <c r="Z72" t="s">
        <v>56</v>
      </c>
      <c r="AA72" t="s">
        <v>60</v>
      </c>
      <c r="AB72" t="s">
        <v>60</v>
      </c>
      <c r="AC72" t="s">
        <v>60</v>
      </c>
      <c r="AD72" t="s">
        <v>60</v>
      </c>
      <c r="AE72" t="s">
        <v>60</v>
      </c>
      <c r="AF72" t="s">
        <v>60</v>
      </c>
      <c r="AI72" t="s">
        <v>167</v>
      </c>
      <c r="AJ72" t="s">
        <v>459</v>
      </c>
      <c r="AK72" t="s">
        <v>167</v>
      </c>
      <c r="AL72" t="s">
        <v>434</v>
      </c>
      <c r="AM72" t="s">
        <v>57</v>
      </c>
      <c r="AN72" t="s">
        <v>58</v>
      </c>
      <c r="AO72" t="s">
        <v>60</v>
      </c>
      <c r="AP72" t="s">
        <v>60</v>
      </c>
      <c r="AQ72" t="s">
        <v>60</v>
      </c>
      <c r="AR72" t="s">
        <v>60</v>
      </c>
      <c r="AV72" t="s">
        <v>59</v>
      </c>
      <c r="BB72" t="s">
        <v>550</v>
      </c>
      <c r="BL72" t="s">
        <v>551</v>
      </c>
      <c r="BM72" t="s">
        <v>14</v>
      </c>
      <c r="BN72" t="s">
        <v>391</v>
      </c>
      <c r="BO72" t="s">
        <v>325</v>
      </c>
      <c r="BP72">
        <v>2.48</v>
      </c>
      <c r="BQ72">
        <v>123.63</v>
      </c>
      <c r="BR72">
        <v>237.48</v>
      </c>
      <c r="BS72">
        <v>206.93</v>
      </c>
      <c r="BT72">
        <v>299.92</v>
      </c>
      <c r="BU72">
        <v>9.81</v>
      </c>
      <c r="BV72">
        <v>38.76</v>
      </c>
      <c r="BW72">
        <v>7.67</v>
      </c>
      <c r="BX72">
        <v>0</v>
      </c>
      <c r="BY72">
        <v>0</v>
      </c>
      <c r="BZ72">
        <v>8.7899999999999991</v>
      </c>
      <c r="CA72">
        <v>68.58</v>
      </c>
      <c r="CB72">
        <v>2.79</v>
      </c>
      <c r="CC72">
        <v>59.52</v>
      </c>
    </row>
    <row r="73" spans="1:81" x14ac:dyDescent="0.25">
      <c r="A73">
        <v>794</v>
      </c>
      <c r="B73" s="2">
        <v>45207</v>
      </c>
      <c r="C73" t="s">
        <v>415</v>
      </c>
      <c r="D73" s="4">
        <v>56</v>
      </c>
      <c r="E73" s="1">
        <v>9.81</v>
      </c>
      <c r="F73" s="1">
        <v>549.36</v>
      </c>
      <c r="G73" t="s">
        <v>172</v>
      </c>
      <c r="H73" t="s">
        <v>28</v>
      </c>
      <c r="I73" t="s">
        <v>45</v>
      </c>
      <c r="J73">
        <v>118.16000000000003</v>
      </c>
      <c r="K73" t="s">
        <v>135</v>
      </c>
      <c r="L73" t="s">
        <v>326</v>
      </c>
      <c r="M73" t="s">
        <v>372</v>
      </c>
      <c r="N73" t="s">
        <v>373</v>
      </c>
      <c r="O73" t="s">
        <v>60</v>
      </c>
      <c r="P73" t="s">
        <v>60</v>
      </c>
      <c r="Q73" t="s">
        <v>60</v>
      </c>
      <c r="R73" t="s">
        <v>60</v>
      </c>
      <c r="S73" t="s">
        <v>90</v>
      </c>
      <c r="T73" t="s">
        <v>327</v>
      </c>
      <c r="U73" t="s">
        <v>233</v>
      </c>
      <c r="V73" t="s">
        <v>328</v>
      </c>
      <c r="W73" t="s">
        <v>60</v>
      </c>
      <c r="X73" t="s">
        <v>60</v>
      </c>
      <c r="Y73" t="s">
        <v>55</v>
      </c>
      <c r="Z73" t="s">
        <v>56</v>
      </c>
      <c r="AA73" t="s">
        <v>60</v>
      </c>
      <c r="AB73" t="s">
        <v>60</v>
      </c>
      <c r="AC73" t="s">
        <v>60</v>
      </c>
      <c r="AD73" t="s">
        <v>60</v>
      </c>
      <c r="AE73" t="s">
        <v>60</v>
      </c>
      <c r="AF73" t="s">
        <v>60</v>
      </c>
      <c r="AG73" t="s">
        <v>372</v>
      </c>
      <c r="AH73" t="s">
        <v>458</v>
      </c>
      <c r="AI73" t="s">
        <v>167</v>
      </c>
      <c r="AJ73" t="s">
        <v>459</v>
      </c>
      <c r="AK73" t="s">
        <v>167</v>
      </c>
      <c r="AL73" t="s">
        <v>434</v>
      </c>
      <c r="AM73" t="s">
        <v>57</v>
      </c>
      <c r="AN73" t="s">
        <v>58</v>
      </c>
      <c r="AV73" t="s">
        <v>59</v>
      </c>
      <c r="BM73" t="s">
        <v>22</v>
      </c>
      <c r="BN73" t="s">
        <v>391</v>
      </c>
      <c r="BO73" t="s">
        <v>325</v>
      </c>
      <c r="BP73">
        <v>7.7</v>
      </c>
      <c r="BQ73">
        <v>123.63</v>
      </c>
      <c r="BR73">
        <v>237.48</v>
      </c>
      <c r="BS73">
        <v>206.93</v>
      </c>
      <c r="BT73">
        <v>299.92</v>
      </c>
      <c r="BU73">
        <v>9.81</v>
      </c>
      <c r="BV73">
        <v>38.76</v>
      </c>
      <c r="BW73">
        <v>7.67</v>
      </c>
      <c r="BX73">
        <v>0</v>
      </c>
      <c r="BY73">
        <v>0</v>
      </c>
      <c r="BZ73">
        <v>8.7899999999999991</v>
      </c>
      <c r="CA73">
        <v>68.58</v>
      </c>
      <c r="CB73">
        <v>2.79</v>
      </c>
      <c r="CC73">
        <v>431.2</v>
      </c>
    </row>
    <row r="74" spans="1:81" x14ac:dyDescent="0.25">
      <c r="A74">
        <v>794</v>
      </c>
      <c r="B74" s="2">
        <v>45207</v>
      </c>
      <c r="C74" t="s">
        <v>416</v>
      </c>
      <c r="D74" s="4">
        <v>6</v>
      </c>
      <c r="E74" s="1">
        <v>68.58</v>
      </c>
      <c r="F74" s="1">
        <v>411.48</v>
      </c>
      <c r="G74" t="s">
        <v>172</v>
      </c>
      <c r="H74" t="s">
        <v>28</v>
      </c>
      <c r="I74" t="s">
        <v>45</v>
      </c>
      <c r="J74">
        <v>81.480000000000018</v>
      </c>
      <c r="K74" t="s">
        <v>135</v>
      </c>
      <c r="L74" t="s">
        <v>326</v>
      </c>
      <c r="M74" t="s">
        <v>372</v>
      </c>
      <c r="N74" t="s">
        <v>373</v>
      </c>
      <c r="O74" t="s">
        <v>60</v>
      </c>
      <c r="P74" t="s">
        <v>60</v>
      </c>
      <c r="Q74" t="s">
        <v>60</v>
      </c>
      <c r="R74" t="s">
        <v>60</v>
      </c>
      <c r="S74" t="s">
        <v>90</v>
      </c>
      <c r="T74" t="s">
        <v>327</v>
      </c>
      <c r="U74" t="s">
        <v>233</v>
      </c>
      <c r="V74" t="s">
        <v>328</v>
      </c>
      <c r="W74" t="s">
        <v>60</v>
      </c>
      <c r="X74" t="s">
        <v>60</v>
      </c>
      <c r="Y74" t="s">
        <v>55</v>
      </c>
      <c r="Z74" t="s">
        <v>56</v>
      </c>
      <c r="AA74" t="s">
        <v>60</v>
      </c>
      <c r="AB74" t="s">
        <v>60</v>
      </c>
      <c r="AC74" t="s">
        <v>60</v>
      </c>
      <c r="AD74" t="s">
        <v>60</v>
      </c>
      <c r="AE74" t="s">
        <v>60</v>
      </c>
      <c r="AF74" t="s">
        <v>60</v>
      </c>
      <c r="AG74" t="s">
        <v>372</v>
      </c>
      <c r="AH74" t="s">
        <v>458</v>
      </c>
      <c r="AI74" t="s">
        <v>167</v>
      </c>
      <c r="AJ74" t="s">
        <v>459</v>
      </c>
      <c r="AK74">
        <v>6</v>
      </c>
      <c r="AL74">
        <v>330</v>
      </c>
      <c r="AM74" t="s">
        <v>57</v>
      </c>
      <c r="AN74" t="s">
        <v>58</v>
      </c>
      <c r="AO74">
        <v>0</v>
      </c>
      <c r="AP74">
        <v>0</v>
      </c>
      <c r="AQ74" t="s">
        <v>60</v>
      </c>
      <c r="AR74" t="s">
        <v>60</v>
      </c>
      <c r="AS74" t="s">
        <v>60</v>
      </c>
      <c r="AT74" t="s">
        <v>60</v>
      </c>
      <c r="AU74" t="s">
        <v>60</v>
      </c>
      <c r="AV74" t="s">
        <v>59</v>
      </c>
      <c r="AW74" t="s">
        <v>546</v>
      </c>
      <c r="AX74" t="s">
        <v>546</v>
      </c>
      <c r="AY74" t="s">
        <v>548</v>
      </c>
      <c r="AZ74" t="s">
        <v>549</v>
      </c>
      <c r="BA74" t="s">
        <v>547</v>
      </c>
      <c r="BB74" t="s">
        <v>550</v>
      </c>
      <c r="BC74" t="s">
        <v>121</v>
      </c>
      <c r="BD74" t="s">
        <v>573</v>
      </c>
      <c r="BE74" t="s">
        <v>60</v>
      </c>
      <c r="BF74" t="s">
        <v>60</v>
      </c>
      <c r="BG74" t="s">
        <v>60</v>
      </c>
      <c r="BH74" t="s">
        <v>60</v>
      </c>
      <c r="BI74" t="s">
        <v>60</v>
      </c>
      <c r="BJ74" t="s">
        <v>60</v>
      </c>
      <c r="BK74" t="s">
        <v>60</v>
      </c>
      <c r="BL74" t="s">
        <v>551</v>
      </c>
      <c r="BM74" t="s">
        <v>25</v>
      </c>
      <c r="BN74" t="s">
        <v>391</v>
      </c>
      <c r="BO74" t="s">
        <v>325</v>
      </c>
      <c r="BP74">
        <v>55</v>
      </c>
      <c r="BQ74">
        <v>123.63</v>
      </c>
      <c r="BR74">
        <v>237.48</v>
      </c>
      <c r="BS74">
        <v>206.93</v>
      </c>
      <c r="BT74">
        <v>299.92</v>
      </c>
      <c r="BU74">
        <v>9.81</v>
      </c>
      <c r="BV74">
        <v>38.76</v>
      </c>
      <c r="BW74">
        <v>7.67</v>
      </c>
      <c r="BX74">
        <v>0</v>
      </c>
      <c r="BY74">
        <v>0</v>
      </c>
      <c r="BZ74">
        <v>8.7899999999999991</v>
      </c>
      <c r="CA74">
        <v>68.58</v>
      </c>
      <c r="CB74">
        <v>2.79</v>
      </c>
      <c r="CC74">
        <v>330</v>
      </c>
    </row>
    <row r="75" spans="1:81" x14ac:dyDescent="0.25">
      <c r="A75">
        <v>667</v>
      </c>
      <c r="B75" s="2">
        <v>45202</v>
      </c>
      <c r="C75" t="s">
        <v>417</v>
      </c>
      <c r="D75" s="4">
        <v>8</v>
      </c>
      <c r="E75" s="1">
        <v>237.48</v>
      </c>
      <c r="F75" s="1">
        <v>1899.84</v>
      </c>
      <c r="G75" t="s">
        <v>172</v>
      </c>
      <c r="H75" t="s">
        <v>28</v>
      </c>
      <c r="I75" t="s">
        <v>45</v>
      </c>
      <c r="J75">
        <v>549.43999999999983</v>
      </c>
      <c r="BM75" t="s">
        <v>21</v>
      </c>
      <c r="BN75" t="s">
        <v>160</v>
      </c>
      <c r="BO75" t="s">
        <v>348</v>
      </c>
      <c r="BP75">
        <v>168.8</v>
      </c>
      <c r="BQ75">
        <v>123.63</v>
      </c>
      <c r="BR75">
        <v>237.48</v>
      </c>
      <c r="BS75">
        <v>206.93</v>
      </c>
      <c r="BT75">
        <v>299.92</v>
      </c>
      <c r="BU75">
        <v>9.81</v>
      </c>
      <c r="BV75">
        <v>38.76</v>
      </c>
      <c r="BW75">
        <v>7.67</v>
      </c>
      <c r="BX75">
        <v>0</v>
      </c>
      <c r="BY75">
        <v>0</v>
      </c>
      <c r="BZ75">
        <v>8.7899999999999991</v>
      </c>
      <c r="CA75">
        <v>68.58</v>
      </c>
      <c r="CB75">
        <v>2.79</v>
      </c>
      <c r="CC75">
        <v>1350.4</v>
      </c>
    </row>
    <row r="76" spans="1:81" x14ac:dyDescent="0.25">
      <c r="A76">
        <v>667</v>
      </c>
      <c r="B76" s="2">
        <v>45202</v>
      </c>
      <c r="C76" t="s">
        <v>352</v>
      </c>
      <c r="D76" s="4">
        <v>4</v>
      </c>
      <c r="E76" s="1">
        <v>206.93</v>
      </c>
      <c r="F76" s="1">
        <v>827.72</v>
      </c>
      <c r="G76" t="s">
        <v>172</v>
      </c>
      <c r="H76" t="s">
        <v>28</v>
      </c>
      <c r="I76" t="s">
        <v>45</v>
      </c>
      <c r="J76">
        <v>152.51999999999998</v>
      </c>
      <c r="BM76" t="s">
        <v>19</v>
      </c>
      <c r="BN76" t="s">
        <v>160</v>
      </c>
      <c r="BO76" t="s">
        <v>348</v>
      </c>
      <c r="BP76">
        <v>168.8</v>
      </c>
      <c r="BQ76">
        <v>123.63</v>
      </c>
      <c r="BR76">
        <v>237.48</v>
      </c>
      <c r="BS76">
        <v>206.93</v>
      </c>
      <c r="BT76">
        <v>299.92</v>
      </c>
      <c r="BU76">
        <v>9.81</v>
      </c>
      <c r="BV76">
        <v>38.76</v>
      </c>
      <c r="BW76">
        <v>7.67</v>
      </c>
      <c r="BX76">
        <v>0</v>
      </c>
      <c r="BY76">
        <v>0</v>
      </c>
      <c r="BZ76">
        <v>8.7899999999999991</v>
      </c>
      <c r="CA76">
        <v>68.58</v>
      </c>
      <c r="CB76">
        <v>2.79</v>
      </c>
      <c r="CC76">
        <v>675.2</v>
      </c>
    </row>
    <row r="77" spans="1:81" x14ac:dyDescent="0.25">
      <c r="A77">
        <v>667</v>
      </c>
      <c r="B77" s="2">
        <v>45203</v>
      </c>
      <c r="C77" t="s">
        <v>417</v>
      </c>
      <c r="D77" s="4">
        <v>8</v>
      </c>
      <c r="E77" s="1">
        <v>237.48</v>
      </c>
      <c r="F77" s="1">
        <v>1899.84</v>
      </c>
      <c r="G77" t="s">
        <v>172</v>
      </c>
      <c r="H77" t="s">
        <v>28</v>
      </c>
      <c r="I77" t="s">
        <v>45</v>
      </c>
      <c r="J77">
        <v>549.43999999999983</v>
      </c>
      <c r="BM77" t="s">
        <v>21</v>
      </c>
      <c r="BN77" t="s">
        <v>160</v>
      </c>
      <c r="BO77" t="s">
        <v>348</v>
      </c>
      <c r="BP77">
        <v>168.8</v>
      </c>
      <c r="BQ77">
        <v>123.63</v>
      </c>
      <c r="BR77">
        <v>237.48</v>
      </c>
      <c r="BS77">
        <v>206.93</v>
      </c>
      <c r="BT77">
        <v>299.92</v>
      </c>
      <c r="BU77">
        <v>9.81</v>
      </c>
      <c r="BV77">
        <v>38.76</v>
      </c>
      <c r="BW77">
        <v>7.67</v>
      </c>
      <c r="BX77">
        <v>0</v>
      </c>
      <c r="BY77">
        <v>0</v>
      </c>
      <c r="BZ77">
        <v>8.7899999999999991</v>
      </c>
      <c r="CA77">
        <v>68.58</v>
      </c>
      <c r="CB77">
        <v>2.79</v>
      </c>
      <c r="CC77">
        <v>1350.4</v>
      </c>
    </row>
    <row r="78" spans="1:81" x14ac:dyDescent="0.25">
      <c r="A78">
        <v>667</v>
      </c>
      <c r="B78" s="2">
        <v>45203</v>
      </c>
      <c r="C78" t="s">
        <v>352</v>
      </c>
      <c r="D78" s="4">
        <v>4</v>
      </c>
      <c r="E78" s="1">
        <v>206.93</v>
      </c>
      <c r="F78" s="1">
        <v>827.72</v>
      </c>
      <c r="G78" t="s">
        <v>172</v>
      </c>
      <c r="H78" t="s">
        <v>28</v>
      </c>
      <c r="I78" t="s">
        <v>45</v>
      </c>
      <c r="J78">
        <v>152.51999999999998</v>
      </c>
      <c r="BM78" t="s">
        <v>19</v>
      </c>
      <c r="BN78" t="s">
        <v>160</v>
      </c>
      <c r="BO78" t="s">
        <v>348</v>
      </c>
      <c r="BP78">
        <v>168.8</v>
      </c>
      <c r="BQ78">
        <v>123.63</v>
      </c>
      <c r="BR78">
        <v>237.48</v>
      </c>
      <c r="BS78">
        <v>206.93</v>
      </c>
      <c r="BT78">
        <v>299.92</v>
      </c>
      <c r="BU78">
        <v>9.81</v>
      </c>
      <c r="BV78">
        <v>38.76</v>
      </c>
      <c r="BW78">
        <v>7.67</v>
      </c>
      <c r="BX78">
        <v>0</v>
      </c>
      <c r="BY78">
        <v>0</v>
      </c>
      <c r="BZ78">
        <v>8.7899999999999991</v>
      </c>
      <c r="CA78">
        <v>68.58</v>
      </c>
      <c r="CB78">
        <v>2.79</v>
      </c>
      <c r="CC78">
        <v>675.2</v>
      </c>
    </row>
    <row r="79" spans="1:81" x14ac:dyDescent="0.25">
      <c r="A79">
        <v>667</v>
      </c>
      <c r="B79" s="2">
        <v>45204</v>
      </c>
      <c r="C79" t="s">
        <v>417</v>
      </c>
      <c r="D79" s="4">
        <v>8</v>
      </c>
      <c r="E79" s="1">
        <v>237.48</v>
      </c>
      <c r="F79" s="1">
        <v>1899.84</v>
      </c>
      <c r="G79" t="s">
        <v>172</v>
      </c>
      <c r="H79" t="s">
        <v>28</v>
      </c>
      <c r="I79" t="s">
        <v>45</v>
      </c>
      <c r="J79">
        <v>549.43999999999983</v>
      </c>
      <c r="BM79" t="s">
        <v>21</v>
      </c>
      <c r="BN79" t="s">
        <v>160</v>
      </c>
      <c r="BO79" t="s">
        <v>348</v>
      </c>
      <c r="BP79">
        <v>168.8</v>
      </c>
      <c r="BQ79">
        <v>123.63</v>
      </c>
      <c r="BR79">
        <v>237.48</v>
      </c>
      <c r="BS79">
        <v>206.93</v>
      </c>
      <c r="BT79">
        <v>299.92</v>
      </c>
      <c r="BU79">
        <v>9.81</v>
      </c>
      <c r="BV79">
        <v>38.76</v>
      </c>
      <c r="BW79">
        <v>7.67</v>
      </c>
      <c r="BX79">
        <v>0</v>
      </c>
      <c r="BY79">
        <v>0</v>
      </c>
      <c r="BZ79">
        <v>8.7899999999999991</v>
      </c>
      <c r="CA79">
        <v>68.58</v>
      </c>
      <c r="CB79">
        <v>2.79</v>
      </c>
      <c r="CC79">
        <v>1350.4</v>
      </c>
    </row>
    <row r="80" spans="1:81" x14ac:dyDescent="0.25">
      <c r="A80">
        <v>667</v>
      </c>
      <c r="B80" s="2">
        <v>45204</v>
      </c>
      <c r="C80" t="s">
        <v>352</v>
      </c>
      <c r="D80" s="4">
        <v>4</v>
      </c>
      <c r="E80" s="1">
        <v>206.93</v>
      </c>
      <c r="F80" s="1">
        <v>827.72</v>
      </c>
      <c r="G80" t="s">
        <v>172</v>
      </c>
      <c r="H80" t="s">
        <v>28</v>
      </c>
      <c r="I80" t="s">
        <v>45</v>
      </c>
      <c r="J80">
        <v>152.51999999999998</v>
      </c>
      <c r="BM80" t="s">
        <v>19</v>
      </c>
      <c r="BN80" t="s">
        <v>160</v>
      </c>
      <c r="BO80" t="s">
        <v>348</v>
      </c>
      <c r="BP80">
        <v>168.8</v>
      </c>
      <c r="BQ80">
        <v>123.63</v>
      </c>
      <c r="BR80">
        <v>237.48</v>
      </c>
      <c r="BS80">
        <v>206.93</v>
      </c>
      <c r="BT80">
        <v>299.92</v>
      </c>
      <c r="BU80">
        <v>9.81</v>
      </c>
      <c r="BV80">
        <v>38.76</v>
      </c>
      <c r="BW80">
        <v>7.67</v>
      </c>
      <c r="BX80">
        <v>0</v>
      </c>
      <c r="BY80">
        <v>0</v>
      </c>
      <c r="BZ80">
        <v>8.7899999999999991</v>
      </c>
      <c r="CA80">
        <v>68.58</v>
      </c>
      <c r="CB80">
        <v>2.79</v>
      </c>
      <c r="CC80">
        <v>675.2</v>
      </c>
    </row>
    <row r="81" spans="1:81" x14ac:dyDescent="0.25">
      <c r="A81">
        <v>667</v>
      </c>
      <c r="B81" s="2">
        <v>45205</v>
      </c>
      <c r="C81" t="s">
        <v>417</v>
      </c>
      <c r="D81" s="4">
        <v>8</v>
      </c>
      <c r="E81" s="1">
        <v>237.48</v>
      </c>
      <c r="F81" s="1">
        <v>1899.84</v>
      </c>
      <c r="G81" t="s">
        <v>172</v>
      </c>
      <c r="H81" t="s">
        <v>28</v>
      </c>
      <c r="I81" t="s">
        <v>45</v>
      </c>
      <c r="J81">
        <v>549.43999999999983</v>
      </c>
      <c r="BM81" t="s">
        <v>21</v>
      </c>
      <c r="BN81" t="s">
        <v>160</v>
      </c>
      <c r="BO81" t="s">
        <v>348</v>
      </c>
      <c r="BP81">
        <v>168.8</v>
      </c>
      <c r="BQ81">
        <v>123.63</v>
      </c>
      <c r="BR81">
        <v>237.48</v>
      </c>
      <c r="BS81">
        <v>206.93</v>
      </c>
      <c r="BT81">
        <v>299.92</v>
      </c>
      <c r="BU81">
        <v>9.81</v>
      </c>
      <c r="BV81">
        <v>38.76</v>
      </c>
      <c r="BW81">
        <v>7.67</v>
      </c>
      <c r="BX81">
        <v>0</v>
      </c>
      <c r="BY81">
        <v>0</v>
      </c>
      <c r="BZ81">
        <v>8.7899999999999991</v>
      </c>
      <c r="CA81">
        <v>68.58</v>
      </c>
      <c r="CB81">
        <v>2.79</v>
      </c>
      <c r="CC81">
        <v>1350.4</v>
      </c>
    </row>
    <row r="82" spans="1:81" x14ac:dyDescent="0.25">
      <c r="A82">
        <v>667</v>
      </c>
      <c r="B82" s="2">
        <v>45205</v>
      </c>
      <c r="C82" t="s">
        <v>352</v>
      </c>
      <c r="D82" s="4">
        <v>4</v>
      </c>
      <c r="E82" s="1">
        <v>206.93</v>
      </c>
      <c r="F82" s="1">
        <v>827.72</v>
      </c>
      <c r="G82" t="s">
        <v>172</v>
      </c>
      <c r="H82" t="s">
        <v>28</v>
      </c>
      <c r="I82" t="s">
        <v>45</v>
      </c>
      <c r="J82">
        <v>152.51999999999998</v>
      </c>
      <c r="BM82" t="s">
        <v>19</v>
      </c>
      <c r="BN82" t="s">
        <v>160</v>
      </c>
      <c r="BO82" t="s">
        <v>348</v>
      </c>
      <c r="BP82">
        <v>168.8</v>
      </c>
      <c r="BQ82">
        <v>123.63</v>
      </c>
      <c r="BR82">
        <v>237.48</v>
      </c>
      <c r="BS82">
        <v>206.93</v>
      </c>
      <c r="BT82">
        <v>299.92</v>
      </c>
      <c r="BU82">
        <v>9.81</v>
      </c>
      <c r="BV82">
        <v>38.76</v>
      </c>
      <c r="BW82">
        <v>7.67</v>
      </c>
      <c r="BX82">
        <v>0</v>
      </c>
      <c r="BY82">
        <v>0</v>
      </c>
      <c r="BZ82">
        <v>8.7899999999999991</v>
      </c>
      <c r="CA82">
        <v>68.58</v>
      </c>
      <c r="CB82">
        <v>2.79</v>
      </c>
      <c r="CC82">
        <v>675.2</v>
      </c>
    </row>
    <row r="83" spans="1:81" x14ac:dyDescent="0.25">
      <c r="A83">
        <v>667</v>
      </c>
      <c r="B83" s="2">
        <v>45207</v>
      </c>
      <c r="C83" t="s">
        <v>353</v>
      </c>
      <c r="D83" s="4">
        <v>4</v>
      </c>
      <c r="E83" s="1">
        <v>38.76</v>
      </c>
      <c r="F83" s="1">
        <v>155.04</v>
      </c>
      <c r="G83" t="s">
        <v>172</v>
      </c>
      <c r="H83" t="s">
        <v>28</v>
      </c>
      <c r="I83" t="s">
        <v>45</v>
      </c>
      <c r="J83">
        <v>10.679999999999978</v>
      </c>
      <c r="K83" t="s">
        <v>60</v>
      </c>
      <c r="L83" t="s">
        <v>60</v>
      </c>
      <c r="M83" t="s">
        <v>169</v>
      </c>
      <c r="N83" t="s">
        <v>326</v>
      </c>
      <c r="O83" t="s">
        <v>60</v>
      </c>
      <c r="P83" t="s">
        <v>60</v>
      </c>
      <c r="Q83" t="s">
        <v>60</v>
      </c>
      <c r="R83" t="s">
        <v>60</v>
      </c>
      <c r="S83" t="s">
        <v>90</v>
      </c>
      <c r="T83" t="s">
        <v>327</v>
      </c>
      <c r="U83" t="s">
        <v>233</v>
      </c>
      <c r="V83" t="s">
        <v>328</v>
      </c>
      <c r="W83" t="s">
        <v>135</v>
      </c>
      <c r="X83" t="s">
        <v>332</v>
      </c>
      <c r="Y83" t="s">
        <v>55</v>
      </c>
      <c r="Z83" t="s">
        <v>56</v>
      </c>
      <c r="AA83" t="s">
        <v>60</v>
      </c>
      <c r="AB83" t="s">
        <v>60</v>
      </c>
      <c r="AC83" t="s">
        <v>60</v>
      </c>
      <c r="AD83" t="s">
        <v>60</v>
      </c>
      <c r="AE83" t="s">
        <v>60</v>
      </c>
      <c r="AF83" t="s">
        <v>60</v>
      </c>
      <c r="AG83" t="s">
        <v>169</v>
      </c>
      <c r="AH83" t="s">
        <v>330</v>
      </c>
      <c r="AI83">
        <v>4</v>
      </c>
      <c r="AJ83">
        <v>144.36000000000001</v>
      </c>
      <c r="AK83" t="s">
        <v>431</v>
      </c>
      <c r="AL83" t="s">
        <v>432</v>
      </c>
      <c r="AM83" t="s">
        <v>57</v>
      </c>
      <c r="AN83" t="s">
        <v>58</v>
      </c>
      <c r="AO83" t="s">
        <v>60</v>
      </c>
      <c r="AP83" t="s">
        <v>60</v>
      </c>
      <c r="AQ83">
        <v>0</v>
      </c>
      <c r="AR83">
        <v>0</v>
      </c>
      <c r="AS83" t="s">
        <v>60</v>
      </c>
      <c r="AT83" t="s">
        <v>60</v>
      </c>
      <c r="AU83" t="s">
        <v>60</v>
      </c>
      <c r="AV83" t="s">
        <v>59</v>
      </c>
      <c r="AW83" t="s">
        <v>517</v>
      </c>
      <c r="AX83" t="s">
        <v>517</v>
      </c>
      <c r="AY83" t="s">
        <v>553</v>
      </c>
      <c r="AZ83" t="s">
        <v>520</v>
      </c>
      <c r="BA83" t="s">
        <v>552</v>
      </c>
      <c r="BB83" t="s">
        <v>191</v>
      </c>
      <c r="BL83" t="s">
        <v>335</v>
      </c>
      <c r="BM83" t="s">
        <v>13</v>
      </c>
      <c r="BN83" t="s">
        <v>170</v>
      </c>
      <c r="BO83" t="s">
        <v>348</v>
      </c>
      <c r="BP83">
        <v>36.090000000000003</v>
      </c>
      <c r="BQ83">
        <v>123.63</v>
      </c>
      <c r="BR83">
        <v>237.48</v>
      </c>
      <c r="BS83">
        <v>206.93</v>
      </c>
      <c r="BT83">
        <v>299.92</v>
      </c>
      <c r="BU83">
        <v>9.81</v>
      </c>
      <c r="BV83">
        <v>38.76</v>
      </c>
      <c r="BW83">
        <v>7.67</v>
      </c>
      <c r="BX83">
        <v>0</v>
      </c>
      <c r="BY83">
        <v>0</v>
      </c>
      <c r="BZ83">
        <v>8.7899999999999991</v>
      </c>
      <c r="CA83">
        <v>68.58</v>
      </c>
      <c r="CB83">
        <v>2.79</v>
      </c>
      <c r="CC83">
        <v>144.36000000000001</v>
      </c>
    </row>
    <row r="84" spans="1:81" x14ac:dyDescent="0.25">
      <c r="A84">
        <v>667</v>
      </c>
      <c r="B84" s="2">
        <v>45207</v>
      </c>
      <c r="C84" t="s">
        <v>354</v>
      </c>
      <c r="D84" s="4">
        <v>16</v>
      </c>
      <c r="E84" s="1">
        <v>2.79</v>
      </c>
      <c r="F84" s="1">
        <v>44.64</v>
      </c>
      <c r="G84" t="s">
        <v>172</v>
      </c>
      <c r="H84" t="s">
        <v>28</v>
      </c>
      <c r="I84" t="s">
        <v>45</v>
      </c>
      <c r="J84">
        <v>4.9600000000000009</v>
      </c>
      <c r="K84" t="s">
        <v>60</v>
      </c>
      <c r="L84" t="s">
        <v>60</v>
      </c>
      <c r="M84" t="s">
        <v>169</v>
      </c>
      <c r="N84" t="s">
        <v>326</v>
      </c>
      <c r="O84" t="s">
        <v>60</v>
      </c>
      <c r="P84" t="s">
        <v>60</v>
      </c>
      <c r="Q84" t="s">
        <v>60</v>
      </c>
      <c r="R84" t="s">
        <v>60</v>
      </c>
      <c r="S84" t="s">
        <v>90</v>
      </c>
      <c r="T84" t="s">
        <v>327</v>
      </c>
      <c r="U84" t="s">
        <v>233</v>
      </c>
      <c r="V84" t="s">
        <v>328</v>
      </c>
      <c r="W84" t="s">
        <v>135</v>
      </c>
      <c r="X84" t="s">
        <v>332</v>
      </c>
      <c r="Y84" t="s">
        <v>55</v>
      </c>
      <c r="Z84" t="s">
        <v>56</v>
      </c>
      <c r="AA84" t="s">
        <v>60</v>
      </c>
      <c r="AB84" t="s">
        <v>60</v>
      </c>
      <c r="AC84" t="s">
        <v>60</v>
      </c>
      <c r="AD84" t="s">
        <v>60</v>
      </c>
      <c r="AE84" t="s">
        <v>60</v>
      </c>
      <c r="AF84" t="s">
        <v>60</v>
      </c>
      <c r="AI84" t="s">
        <v>133</v>
      </c>
      <c r="AJ84" t="s">
        <v>331</v>
      </c>
      <c r="AK84" t="s">
        <v>431</v>
      </c>
      <c r="AL84" t="s">
        <v>432</v>
      </c>
      <c r="AM84" t="s">
        <v>57</v>
      </c>
      <c r="AN84" t="s">
        <v>58</v>
      </c>
      <c r="AO84" t="s">
        <v>60</v>
      </c>
      <c r="AP84" t="s">
        <v>60</v>
      </c>
      <c r="AQ84" t="s">
        <v>60</v>
      </c>
      <c r="AR84" t="s">
        <v>60</v>
      </c>
      <c r="AV84" t="s">
        <v>59</v>
      </c>
      <c r="BB84" t="s">
        <v>191</v>
      </c>
      <c r="BL84" t="s">
        <v>335</v>
      </c>
      <c r="BM84" t="s">
        <v>14</v>
      </c>
      <c r="BN84" t="s">
        <v>170</v>
      </c>
      <c r="BO84" t="s">
        <v>348</v>
      </c>
      <c r="BP84">
        <v>2.48</v>
      </c>
      <c r="BQ84">
        <v>123.63</v>
      </c>
      <c r="BR84">
        <v>237.48</v>
      </c>
      <c r="BS84">
        <v>206.93</v>
      </c>
      <c r="BT84">
        <v>299.92</v>
      </c>
      <c r="BU84">
        <v>9.81</v>
      </c>
      <c r="BV84">
        <v>38.76</v>
      </c>
      <c r="BW84">
        <v>7.67</v>
      </c>
      <c r="BX84">
        <v>0</v>
      </c>
      <c r="BY84">
        <v>0</v>
      </c>
      <c r="BZ84">
        <v>8.7899999999999991</v>
      </c>
      <c r="CA84">
        <v>68.58</v>
      </c>
      <c r="CB84">
        <v>2.79</v>
      </c>
      <c r="CC84">
        <v>39.68</v>
      </c>
    </row>
    <row r="85" spans="1:81" x14ac:dyDescent="0.25">
      <c r="A85">
        <v>667</v>
      </c>
      <c r="B85" s="2">
        <v>45207</v>
      </c>
      <c r="C85" t="s">
        <v>355</v>
      </c>
      <c r="D85" s="4">
        <v>48</v>
      </c>
      <c r="E85" s="1">
        <v>9.81</v>
      </c>
      <c r="F85" s="1">
        <v>470.88</v>
      </c>
      <c r="G85" t="s">
        <v>172</v>
      </c>
      <c r="H85" t="s">
        <v>28</v>
      </c>
      <c r="I85" t="s">
        <v>45</v>
      </c>
      <c r="J85">
        <v>101.27999999999997</v>
      </c>
      <c r="K85" t="s">
        <v>60</v>
      </c>
      <c r="L85" t="s">
        <v>60</v>
      </c>
      <c r="M85" t="s">
        <v>169</v>
      </c>
      <c r="N85" t="s">
        <v>326</v>
      </c>
      <c r="O85" t="s">
        <v>60</v>
      </c>
      <c r="P85" t="s">
        <v>60</v>
      </c>
      <c r="Q85" t="s">
        <v>60</v>
      </c>
      <c r="R85" t="s">
        <v>60</v>
      </c>
      <c r="S85" t="s">
        <v>90</v>
      </c>
      <c r="T85" t="s">
        <v>327</v>
      </c>
      <c r="U85" t="s">
        <v>233</v>
      </c>
      <c r="V85" t="s">
        <v>328</v>
      </c>
      <c r="W85" t="s">
        <v>135</v>
      </c>
      <c r="X85" t="s">
        <v>332</v>
      </c>
      <c r="Y85" t="s">
        <v>55</v>
      </c>
      <c r="Z85" t="s">
        <v>56</v>
      </c>
      <c r="AA85" t="s">
        <v>60</v>
      </c>
      <c r="AB85" t="s">
        <v>60</v>
      </c>
      <c r="AC85" t="s">
        <v>60</v>
      </c>
      <c r="AD85" t="s">
        <v>60</v>
      </c>
      <c r="AE85" t="s">
        <v>60</v>
      </c>
      <c r="AF85" t="s">
        <v>60</v>
      </c>
      <c r="AG85" t="s">
        <v>169</v>
      </c>
      <c r="AH85" t="s">
        <v>330</v>
      </c>
      <c r="AI85" t="s">
        <v>133</v>
      </c>
      <c r="AJ85" t="s">
        <v>331</v>
      </c>
      <c r="AK85" t="s">
        <v>431</v>
      </c>
      <c r="AL85" t="s">
        <v>432</v>
      </c>
      <c r="AM85" t="s">
        <v>57</v>
      </c>
      <c r="AN85" t="s">
        <v>58</v>
      </c>
      <c r="AV85" t="s">
        <v>59</v>
      </c>
      <c r="BM85" t="s">
        <v>22</v>
      </c>
      <c r="BN85" t="s">
        <v>170</v>
      </c>
      <c r="BO85" t="s">
        <v>348</v>
      </c>
      <c r="BP85">
        <v>7.7</v>
      </c>
      <c r="BQ85">
        <v>123.63</v>
      </c>
      <c r="BR85">
        <v>237.48</v>
      </c>
      <c r="BS85">
        <v>206.93</v>
      </c>
      <c r="BT85">
        <v>299.92</v>
      </c>
      <c r="BU85">
        <v>9.81</v>
      </c>
      <c r="BV85">
        <v>38.76</v>
      </c>
      <c r="BW85">
        <v>7.67</v>
      </c>
      <c r="BX85">
        <v>0</v>
      </c>
      <c r="BY85">
        <v>0</v>
      </c>
      <c r="BZ85">
        <v>8.7899999999999991</v>
      </c>
      <c r="CA85">
        <v>68.58</v>
      </c>
      <c r="CB85">
        <v>2.79</v>
      </c>
      <c r="CC85">
        <v>369.6</v>
      </c>
    </row>
    <row r="86" spans="1:81" x14ac:dyDescent="0.25">
      <c r="A86">
        <v>667</v>
      </c>
      <c r="B86" s="2">
        <v>45207</v>
      </c>
      <c r="C86" t="s">
        <v>356</v>
      </c>
      <c r="D86" s="4">
        <v>5</v>
      </c>
      <c r="E86" s="1">
        <v>68.58</v>
      </c>
      <c r="F86" s="1">
        <v>342.9</v>
      </c>
      <c r="G86" t="s">
        <v>172</v>
      </c>
      <c r="H86" t="s">
        <v>28</v>
      </c>
      <c r="I86" t="s">
        <v>45</v>
      </c>
      <c r="J86">
        <v>67.899999999999977</v>
      </c>
      <c r="K86" t="s">
        <v>60</v>
      </c>
      <c r="L86" t="s">
        <v>60</v>
      </c>
      <c r="M86" t="s">
        <v>169</v>
      </c>
      <c r="N86" t="s">
        <v>326</v>
      </c>
      <c r="O86" t="s">
        <v>60</v>
      </c>
      <c r="P86" t="s">
        <v>60</v>
      </c>
      <c r="Q86" t="s">
        <v>60</v>
      </c>
      <c r="R86" t="s">
        <v>60</v>
      </c>
      <c r="S86" t="s">
        <v>90</v>
      </c>
      <c r="T86" t="s">
        <v>327</v>
      </c>
      <c r="U86" t="s">
        <v>233</v>
      </c>
      <c r="V86" t="s">
        <v>328</v>
      </c>
      <c r="W86" t="s">
        <v>135</v>
      </c>
      <c r="X86" t="s">
        <v>332</v>
      </c>
      <c r="Y86" t="s">
        <v>55</v>
      </c>
      <c r="Z86" t="s">
        <v>56</v>
      </c>
      <c r="AA86" t="s">
        <v>60</v>
      </c>
      <c r="AB86" t="s">
        <v>60</v>
      </c>
      <c r="AC86" t="s">
        <v>60</v>
      </c>
      <c r="AD86" t="s">
        <v>60</v>
      </c>
      <c r="AE86" t="s">
        <v>60</v>
      </c>
      <c r="AF86" t="s">
        <v>60</v>
      </c>
      <c r="AG86" t="s">
        <v>169</v>
      </c>
      <c r="AH86" t="s">
        <v>330</v>
      </c>
      <c r="AI86" t="s">
        <v>133</v>
      </c>
      <c r="AJ86" t="s">
        <v>331</v>
      </c>
      <c r="AK86">
        <v>5</v>
      </c>
      <c r="AL86">
        <v>275</v>
      </c>
      <c r="AM86" t="s">
        <v>57</v>
      </c>
      <c r="AN86" t="s">
        <v>58</v>
      </c>
      <c r="AO86">
        <v>0</v>
      </c>
      <c r="AP86">
        <v>0</v>
      </c>
      <c r="AQ86" t="s">
        <v>60</v>
      </c>
      <c r="AR86" t="s">
        <v>60</v>
      </c>
      <c r="AS86" t="s">
        <v>60</v>
      </c>
      <c r="AT86" t="s">
        <v>60</v>
      </c>
      <c r="AU86" t="s">
        <v>60</v>
      </c>
      <c r="AV86" t="s">
        <v>59</v>
      </c>
      <c r="AW86" t="s">
        <v>517</v>
      </c>
      <c r="AX86" t="s">
        <v>517</v>
      </c>
      <c r="AY86" t="s">
        <v>553</v>
      </c>
      <c r="AZ86" t="s">
        <v>520</v>
      </c>
      <c r="BA86" t="s">
        <v>552</v>
      </c>
      <c r="BB86" t="s">
        <v>191</v>
      </c>
      <c r="BC86" t="s">
        <v>121</v>
      </c>
      <c r="BD86" t="s">
        <v>566</v>
      </c>
      <c r="BE86" t="s">
        <v>60</v>
      </c>
      <c r="BF86" t="s">
        <v>60</v>
      </c>
      <c r="BG86" t="s">
        <v>60</v>
      </c>
      <c r="BH86" t="s">
        <v>60</v>
      </c>
      <c r="BI86" t="s">
        <v>60</v>
      </c>
      <c r="BJ86" t="s">
        <v>60</v>
      </c>
      <c r="BK86" t="s">
        <v>60</v>
      </c>
      <c r="BL86" t="s">
        <v>335</v>
      </c>
      <c r="BM86" t="s">
        <v>25</v>
      </c>
      <c r="BN86" t="s">
        <v>170</v>
      </c>
      <c r="BO86" t="s">
        <v>348</v>
      </c>
      <c r="BP86">
        <v>55</v>
      </c>
      <c r="BQ86">
        <v>123.63</v>
      </c>
      <c r="BR86">
        <v>237.48</v>
      </c>
      <c r="BS86">
        <v>206.93</v>
      </c>
      <c r="BT86">
        <v>299.92</v>
      </c>
      <c r="BU86">
        <v>9.81</v>
      </c>
      <c r="BV86">
        <v>38.76</v>
      </c>
      <c r="BW86">
        <v>7.67</v>
      </c>
      <c r="BX86">
        <v>0</v>
      </c>
      <c r="BY86">
        <v>0</v>
      </c>
      <c r="BZ86">
        <v>8.7899999999999991</v>
      </c>
      <c r="CA86">
        <v>68.58</v>
      </c>
      <c r="CB86">
        <v>2.79</v>
      </c>
      <c r="CC86">
        <v>275</v>
      </c>
    </row>
    <row r="87" spans="1:81" x14ac:dyDescent="0.25">
      <c r="A87">
        <v>115</v>
      </c>
      <c r="B87" s="2">
        <v>45202</v>
      </c>
      <c r="C87" t="s">
        <v>592</v>
      </c>
      <c r="D87" s="4">
        <v>8</v>
      </c>
      <c r="E87" s="1">
        <v>123.63</v>
      </c>
      <c r="F87" s="1">
        <v>989.04</v>
      </c>
      <c r="G87" t="s">
        <v>172</v>
      </c>
      <c r="H87" t="s">
        <v>28</v>
      </c>
      <c r="I87" t="s">
        <v>45</v>
      </c>
      <c r="J87">
        <v>313.83999999999992</v>
      </c>
      <c r="BM87" t="s">
        <v>18</v>
      </c>
      <c r="BN87" t="s">
        <v>162</v>
      </c>
      <c r="BO87" t="s">
        <v>293</v>
      </c>
      <c r="BP87">
        <v>84.4</v>
      </c>
      <c r="BQ87">
        <v>123.63</v>
      </c>
      <c r="BR87">
        <v>237.48</v>
      </c>
      <c r="BS87">
        <v>206.93</v>
      </c>
      <c r="BT87">
        <v>299.92</v>
      </c>
      <c r="BU87">
        <v>9.81</v>
      </c>
      <c r="BV87">
        <v>38.76</v>
      </c>
      <c r="BW87">
        <v>7.67</v>
      </c>
      <c r="BX87">
        <v>0</v>
      </c>
      <c r="BY87">
        <v>0</v>
      </c>
      <c r="BZ87">
        <v>8.7899999999999991</v>
      </c>
      <c r="CA87">
        <v>68.58</v>
      </c>
      <c r="CB87">
        <v>2.79</v>
      </c>
      <c r="CC87">
        <v>675.2</v>
      </c>
    </row>
    <row r="88" spans="1:81" x14ac:dyDescent="0.25">
      <c r="A88">
        <v>115</v>
      </c>
      <c r="B88" s="2">
        <v>45202</v>
      </c>
      <c r="C88" t="s">
        <v>309</v>
      </c>
      <c r="D88" s="4">
        <v>4</v>
      </c>
      <c r="E88" s="1">
        <v>206.93</v>
      </c>
      <c r="F88" s="1">
        <v>827.72</v>
      </c>
      <c r="G88" t="s">
        <v>172</v>
      </c>
      <c r="H88" t="s">
        <v>28</v>
      </c>
      <c r="I88" t="s">
        <v>45</v>
      </c>
      <c r="J88">
        <v>152.51999999999998</v>
      </c>
      <c r="BM88" t="s">
        <v>19</v>
      </c>
      <c r="BN88" t="s">
        <v>162</v>
      </c>
      <c r="BO88" t="s">
        <v>293</v>
      </c>
      <c r="BP88">
        <v>168.8</v>
      </c>
      <c r="BQ88">
        <v>123.63</v>
      </c>
      <c r="BR88">
        <v>237.48</v>
      </c>
      <c r="BS88">
        <v>206.93</v>
      </c>
      <c r="BT88">
        <v>299.92</v>
      </c>
      <c r="BU88">
        <v>9.81</v>
      </c>
      <c r="BV88">
        <v>38.76</v>
      </c>
      <c r="BW88">
        <v>7.67</v>
      </c>
      <c r="BX88">
        <v>0</v>
      </c>
      <c r="BY88">
        <v>0</v>
      </c>
      <c r="BZ88">
        <v>8.7899999999999991</v>
      </c>
      <c r="CA88">
        <v>68.58</v>
      </c>
      <c r="CB88">
        <v>2.79</v>
      </c>
      <c r="CC88">
        <v>675.2</v>
      </c>
    </row>
    <row r="89" spans="1:81" x14ac:dyDescent="0.25">
      <c r="A89">
        <v>115</v>
      </c>
      <c r="B89" s="2">
        <v>45203</v>
      </c>
      <c r="C89" t="s">
        <v>592</v>
      </c>
      <c r="D89" s="4">
        <v>8</v>
      </c>
      <c r="E89" s="1">
        <v>123.63</v>
      </c>
      <c r="F89" s="1">
        <v>989.04</v>
      </c>
      <c r="G89" t="s">
        <v>172</v>
      </c>
      <c r="H89" t="s">
        <v>28</v>
      </c>
      <c r="I89" t="s">
        <v>45</v>
      </c>
      <c r="J89">
        <v>313.83999999999992</v>
      </c>
      <c r="BM89" t="s">
        <v>18</v>
      </c>
      <c r="BN89" t="s">
        <v>162</v>
      </c>
      <c r="BO89" t="s">
        <v>293</v>
      </c>
      <c r="BP89">
        <v>84.4</v>
      </c>
      <c r="BQ89">
        <v>123.63</v>
      </c>
      <c r="BR89">
        <v>237.48</v>
      </c>
      <c r="BS89">
        <v>206.93</v>
      </c>
      <c r="BT89">
        <v>299.92</v>
      </c>
      <c r="BU89">
        <v>9.81</v>
      </c>
      <c r="BV89">
        <v>38.76</v>
      </c>
      <c r="BW89">
        <v>7.67</v>
      </c>
      <c r="BX89">
        <v>0</v>
      </c>
      <c r="BY89">
        <v>0</v>
      </c>
      <c r="BZ89">
        <v>8.7899999999999991</v>
      </c>
      <c r="CA89">
        <v>68.58</v>
      </c>
      <c r="CB89">
        <v>2.79</v>
      </c>
      <c r="CC89">
        <v>675.2</v>
      </c>
    </row>
    <row r="90" spans="1:81" x14ac:dyDescent="0.25">
      <c r="A90">
        <v>115</v>
      </c>
      <c r="B90" s="2">
        <v>45203</v>
      </c>
      <c r="C90" t="s">
        <v>309</v>
      </c>
      <c r="D90" s="4">
        <v>4</v>
      </c>
      <c r="E90" s="1">
        <v>206.93</v>
      </c>
      <c r="F90" s="1">
        <v>827.72</v>
      </c>
      <c r="G90" t="s">
        <v>172</v>
      </c>
      <c r="H90" t="s">
        <v>28</v>
      </c>
      <c r="I90" t="s">
        <v>45</v>
      </c>
      <c r="J90">
        <v>152.51999999999998</v>
      </c>
      <c r="BM90" t="s">
        <v>19</v>
      </c>
      <c r="BN90" t="s">
        <v>162</v>
      </c>
      <c r="BO90" t="s">
        <v>293</v>
      </c>
      <c r="BP90">
        <v>168.8</v>
      </c>
      <c r="BQ90">
        <v>123.63</v>
      </c>
      <c r="BR90">
        <v>237.48</v>
      </c>
      <c r="BS90">
        <v>206.93</v>
      </c>
      <c r="BT90">
        <v>299.92</v>
      </c>
      <c r="BU90">
        <v>9.81</v>
      </c>
      <c r="BV90">
        <v>38.76</v>
      </c>
      <c r="BW90">
        <v>7.67</v>
      </c>
      <c r="BX90">
        <v>0</v>
      </c>
      <c r="BY90">
        <v>0</v>
      </c>
      <c r="BZ90">
        <v>8.7899999999999991</v>
      </c>
      <c r="CA90">
        <v>68.58</v>
      </c>
      <c r="CB90">
        <v>2.79</v>
      </c>
      <c r="CC90">
        <v>675.2</v>
      </c>
    </row>
    <row r="91" spans="1:81" x14ac:dyDescent="0.25">
      <c r="A91">
        <v>115</v>
      </c>
      <c r="B91" s="2">
        <v>45204</v>
      </c>
      <c r="C91" t="s">
        <v>592</v>
      </c>
      <c r="D91" s="4">
        <v>8</v>
      </c>
      <c r="E91" s="1">
        <v>123.63</v>
      </c>
      <c r="F91" s="1">
        <v>989.04</v>
      </c>
      <c r="G91" t="s">
        <v>172</v>
      </c>
      <c r="H91" t="s">
        <v>28</v>
      </c>
      <c r="I91" t="s">
        <v>45</v>
      </c>
      <c r="J91">
        <v>313.83999999999992</v>
      </c>
      <c r="BM91" t="s">
        <v>18</v>
      </c>
      <c r="BN91" t="s">
        <v>162</v>
      </c>
      <c r="BO91" t="s">
        <v>293</v>
      </c>
      <c r="BP91">
        <v>84.4</v>
      </c>
      <c r="BQ91">
        <v>123.63</v>
      </c>
      <c r="BR91">
        <v>237.48</v>
      </c>
      <c r="BS91">
        <v>206.93</v>
      </c>
      <c r="BT91">
        <v>299.92</v>
      </c>
      <c r="BU91">
        <v>9.81</v>
      </c>
      <c r="BV91">
        <v>38.76</v>
      </c>
      <c r="BW91">
        <v>7.67</v>
      </c>
      <c r="BX91">
        <v>0</v>
      </c>
      <c r="BY91">
        <v>0</v>
      </c>
      <c r="BZ91">
        <v>8.7899999999999991</v>
      </c>
      <c r="CA91">
        <v>68.58</v>
      </c>
      <c r="CB91">
        <v>2.79</v>
      </c>
      <c r="CC91">
        <v>675.2</v>
      </c>
    </row>
    <row r="92" spans="1:81" x14ac:dyDescent="0.25">
      <c r="A92">
        <v>115</v>
      </c>
      <c r="B92" s="2">
        <v>45204</v>
      </c>
      <c r="C92" t="s">
        <v>309</v>
      </c>
      <c r="D92" s="4">
        <v>4</v>
      </c>
      <c r="E92" s="1">
        <v>206.93</v>
      </c>
      <c r="F92" s="1">
        <v>827.72</v>
      </c>
      <c r="G92" t="s">
        <v>172</v>
      </c>
      <c r="H92" t="s">
        <v>28</v>
      </c>
      <c r="I92" t="s">
        <v>45</v>
      </c>
      <c r="J92">
        <v>152.51999999999998</v>
      </c>
      <c r="BM92" t="s">
        <v>19</v>
      </c>
      <c r="BN92" t="s">
        <v>162</v>
      </c>
      <c r="BO92" t="s">
        <v>293</v>
      </c>
      <c r="BP92">
        <v>168.8</v>
      </c>
      <c r="BQ92">
        <v>123.63</v>
      </c>
      <c r="BR92">
        <v>237.48</v>
      </c>
      <c r="BS92">
        <v>206.93</v>
      </c>
      <c r="BT92">
        <v>299.92</v>
      </c>
      <c r="BU92">
        <v>9.81</v>
      </c>
      <c r="BV92">
        <v>38.76</v>
      </c>
      <c r="BW92">
        <v>7.67</v>
      </c>
      <c r="BX92">
        <v>0</v>
      </c>
      <c r="BY92">
        <v>0</v>
      </c>
      <c r="BZ92">
        <v>8.7899999999999991</v>
      </c>
      <c r="CA92">
        <v>68.58</v>
      </c>
      <c r="CB92">
        <v>2.79</v>
      </c>
      <c r="CC92">
        <v>675.2</v>
      </c>
    </row>
    <row r="93" spans="1:81" x14ac:dyDescent="0.25">
      <c r="A93">
        <v>115</v>
      </c>
      <c r="B93" s="2">
        <v>45205</v>
      </c>
      <c r="C93" t="s">
        <v>592</v>
      </c>
      <c r="D93" s="4">
        <v>8</v>
      </c>
      <c r="E93" s="1">
        <v>123.63</v>
      </c>
      <c r="F93" s="1">
        <v>989.04</v>
      </c>
      <c r="G93" t="s">
        <v>172</v>
      </c>
      <c r="H93" t="s">
        <v>28</v>
      </c>
      <c r="I93" t="s">
        <v>45</v>
      </c>
      <c r="J93">
        <v>313.83999999999992</v>
      </c>
      <c r="BM93" t="s">
        <v>18</v>
      </c>
      <c r="BN93" t="s">
        <v>162</v>
      </c>
      <c r="BO93" t="s">
        <v>293</v>
      </c>
      <c r="BP93">
        <v>84.4</v>
      </c>
      <c r="BQ93">
        <v>123.63</v>
      </c>
      <c r="BR93">
        <v>237.48</v>
      </c>
      <c r="BS93">
        <v>206.93</v>
      </c>
      <c r="BT93">
        <v>299.92</v>
      </c>
      <c r="BU93">
        <v>9.81</v>
      </c>
      <c r="BV93">
        <v>38.76</v>
      </c>
      <c r="BW93">
        <v>7.67</v>
      </c>
      <c r="BX93">
        <v>0</v>
      </c>
      <c r="BY93">
        <v>0</v>
      </c>
      <c r="BZ93">
        <v>8.7899999999999991</v>
      </c>
      <c r="CA93">
        <v>68.58</v>
      </c>
      <c r="CB93">
        <v>2.79</v>
      </c>
      <c r="CC93">
        <v>675.2</v>
      </c>
    </row>
    <row r="94" spans="1:81" x14ac:dyDescent="0.25">
      <c r="A94">
        <v>115</v>
      </c>
      <c r="B94" s="2">
        <v>45205</v>
      </c>
      <c r="C94" t="s">
        <v>309</v>
      </c>
      <c r="D94" s="4">
        <v>4</v>
      </c>
      <c r="E94" s="1">
        <v>206.93</v>
      </c>
      <c r="F94" s="1">
        <v>827.72</v>
      </c>
      <c r="G94" t="s">
        <v>172</v>
      </c>
      <c r="H94" t="s">
        <v>28</v>
      </c>
      <c r="I94" t="s">
        <v>45</v>
      </c>
      <c r="J94">
        <v>152.51999999999998</v>
      </c>
      <c r="BM94" t="s">
        <v>19</v>
      </c>
      <c r="BN94" t="s">
        <v>162</v>
      </c>
      <c r="BO94" t="s">
        <v>293</v>
      </c>
      <c r="BP94">
        <v>168.8</v>
      </c>
      <c r="BQ94">
        <v>123.63</v>
      </c>
      <c r="BR94">
        <v>237.48</v>
      </c>
      <c r="BS94">
        <v>206.93</v>
      </c>
      <c r="BT94">
        <v>299.92</v>
      </c>
      <c r="BU94">
        <v>9.81</v>
      </c>
      <c r="BV94">
        <v>38.76</v>
      </c>
      <c r="BW94">
        <v>7.67</v>
      </c>
      <c r="BX94">
        <v>0</v>
      </c>
      <c r="BY94">
        <v>0</v>
      </c>
      <c r="BZ94">
        <v>8.7899999999999991</v>
      </c>
      <c r="CA94">
        <v>68.58</v>
      </c>
      <c r="CB94">
        <v>2.79</v>
      </c>
      <c r="CC94">
        <v>675.2</v>
      </c>
    </row>
    <row r="95" spans="1:81" x14ac:dyDescent="0.25">
      <c r="A95">
        <v>115</v>
      </c>
      <c r="B95" s="2">
        <v>45206</v>
      </c>
      <c r="C95" t="s">
        <v>309</v>
      </c>
      <c r="D95" s="4">
        <v>8</v>
      </c>
      <c r="E95" s="1">
        <v>206.93</v>
      </c>
      <c r="F95" s="1">
        <v>1655.44</v>
      </c>
      <c r="G95" t="s">
        <v>172</v>
      </c>
      <c r="H95" t="s">
        <v>28</v>
      </c>
      <c r="I95" t="s">
        <v>45</v>
      </c>
      <c r="J95">
        <v>305.03999999999996</v>
      </c>
      <c r="BM95" t="s">
        <v>19</v>
      </c>
      <c r="BN95" t="s">
        <v>162</v>
      </c>
      <c r="BO95" t="s">
        <v>293</v>
      </c>
      <c r="BP95">
        <v>168.8</v>
      </c>
      <c r="BQ95">
        <v>123.63</v>
      </c>
      <c r="BR95">
        <v>237.48</v>
      </c>
      <c r="BS95">
        <v>206.93</v>
      </c>
      <c r="BT95">
        <v>299.92</v>
      </c>
      <c r="BU95">
        <v>9.81</v>
      </c>
      <c r="BV95">
        <v>38.76</v>
      </c>
      <c r="BW95">
        <v>7.67</v>
      </c>
      <c r="BX95">
        <v>0</v>
      </c>
      <c r="BY95">
        <v>0</v>
      </c>
      <c r="BZ95">
        <v>8.7899999999999991</v>
      </c>
      <c r="CA95">
        <v>68.58</v>
      </c>
      <c r="CB95">
        <v>2.79</v>
      </c>
      <c r="CC95">
        <v>1350.4</v>
      </c>
    </row>
    <row r="96" spans="1:81" x14ac:dyDescent="0.25">
      <c r="A96">
        <v>115</v>
      </c>
      <c r="B96" s="2">
        <v>45207</v>
      </c>
      <c r="C96" t="s">
        <v>315</v>
      </c>
      <c r="D96" s="4">
        <v>6</v>
      </c>
      <c r="E96" s="1">
        <v>38.76</v>
      </c>
      <c r="F96" s="1">
        <v>232.56</v>
      </c>
      <c r="G96" t="s">
        <v>172</v>
      </c>
      <c r="H96" t="s">
        <v>28</v>
      </c>
      <c r="I96" t="s">
        <v>45</v>
      </c>
      <c r="J96">
        <v>16.02000000000001</v>
      </c>
      <c r="K96" t="s">
        <v>135</v>
      </c>
      <c r="L96" t="s">
        <v>326</v>
      </c>
      <c r="M96" t="s">
        <v>372</v>
      </c>
      <c r="N96" t="s">
        <v>373</v>
      </c>
      <c r="O96" t="s">
        <v>60</v>
      </c>
      <c r="P96" t="s">
        <v>60</v>
      </c>
      <c r="Q96" t="s">
        <v>60</v>
      </c>
      <c r="R96" t="s">
        <v>60</v>
      </c>
      <c r="S96" t="s">
        <v>464</v>
      </c>
      <c r="T96" t="s">
        <v>465</v>
      </c>
      <c r="U96" t="s">
        <v>233</v>
      </c>
      <c r="V96" t="s">
        <v>328</v>
      </c>
      <c r="W96" t="s">
        <v>60</v>
      </c>
      <c r="X96" t="s">
        <v>60</v>
      </c>
      <c r="Y96" t="s">
        <v>55</v>
      </c>
      <c r="Z96" t="s">
        <v>56</v>
      </c>
      <c r="AA96" t="s">
        <v>60</v>
      </c>
      <c r="AB96" t="s">
        <v>60</v>
      </c>
      <c r="AC96" t="s">
        <v>60</v>
      </c>
      <c r="AD96" t="s">
        <v>60</v>
      </c>
      <c r="AE96" t="s">
        <v>60</v>
      </c>
      <c r="AF96" t="s">
        <v>60</v>
      </c>
      <c r="AG96" t="s">
        <v>372</v>
      </c>
      <c r="AH96" t="s">
        <v>458</v>
      </c>
      <c r="AI96">
        <v>6</v>
      </c>
      <c r="AJ96">
        <v>216.54</v>
      </c>
      <c r="AK96" t="s">
        <v>167</v>
      </c>
      <c r="AL96" t="s">
        <v>434</v>
      </c>
      <c r="AM96" t="s">
        <v>57</v>
      </c>
      <c r="AN96" t="s">
        <v>58</v>
      </c>
      <c r="AO96" t="s">
        <v>60</v>
      </c>
      <c r="AP96" t="s">
        <v>60</v>
      </c>
      <c r="AQ96">
        <v>0</v>
      </c>
      <c r="AR96">
        <v>0</v>
      </c>
      <c r="AS96" t="s">
        <v>60</v>
      </c>
      <c r="AT96" t="s">
        <v>60</v>
      </c>
      <c r="AU96" t="s">
        <v>60</v>
      </c>
      <c r="AV96" t="s">
        <v>59</v>
      </c>
      <c r="AW96" t="s">
        <v>554</v>
      </c>
      <c r="AX96" t="s">
        <v>554</v>
      </c>
      <c r="AY96" t="s">
        <v>556</v>
      </c>
      <c r="AZ96" t="s">
        <v>557</v>
      </c>
      <c r="BA96" t="s">
        <v>555</v>
      </c>
      <c r="BB96" t="s">
        <v>550</v>
      </c>
      <c r="BL96" t="s">
        <v>551</v>
      </c>
      <c r="BM96" t="s">
        <v>13</v>
      </c>
      <c r="BN96" t="s">
        <v>298</v>
      </c>
      <c r="BO96" t="s">
        <v>293</v>
      </c>
      <c r="BP96">
        <v>36.089999999999996</v>
      </c>
      <c r="BQ96">
        <v>123.63</v>
      </c>
      <c r="BR96">
        <v>237.48</v>
      </c>
      <c r="BS96">
        <v>206.93</v>
      </c>
      <c r="BT96">
        <v>299.92</v>
      </c>
      <c r="BU96">
        <v>9.81</v>
      </c>
      <c r="BV96">
        <v>38.76</v>
      </c>
      <c r="BW96">
        <v>7.67</v>
      </c>
      <c r="BX96">
        <v>0</v>
      </c>
      <c r="BY96">
        <v>0</v>
      </c>
      <c r="BZ96">
        <v>8.7899999999999991</v>
      </c>
      <c r="CA96">
        <v>68.58</v>
      </c>
      <c r="CB96">
        <v>2.79</v>
      </c>
      <c r="CC96">
        <v>216.54</v>
      </c>
    </row>
    <row r="97" spans="1:81" x14ac:dyDescent="0.25">
      <c r="A97">
        <v>115</v>
      </c>
      <c r="B97" s="2">
        <v>45207</v>
      </c>
      <c r="C97" t="s">
        <v>310</v>
      </c>
      <c r="D97" s="4">
        <v>24</v>
      </c>
      <c r="E97" s="1">
        <v>2.79</v>
      </c>
      <c r="F97" s="1">
        <v>66.960000000000008</v>
      </c>
      <c r="G97" t="s">
        <v>172</v>
      </c>
      <c r="H97" t="s">
        <v>28</v>
      </c>
      <c r="I97" t="s">
        <v>45</v>
      </c>
      <c r="J97">
        <v>7.4400000000000048</v>
      </c>
      <c r="K97" t="s">
        <v>135</v>
      </c>
      <c r="L97" t="s">
        <v>326</v>
      </c>
      <c r="M97" t="s">
        <v>372</v>
      </c>
      <c r="N97" t="s">
        <v>373</v>
      </c>
      <c r="O97" t="s">
        <v>60</v>
      </c>
      <c r="P97" t="s">
        <v>60</v>
      </c>
      <c r="Q97" t="s">
        <v>60</v>
      </c>
      <c r="R97" t="s">
        <v>60</v>
      </c>
      <c r="S97" t="s">
        <v>464</v>
      </c>
      <c r="T97" t="s">
        <v>465</v>
      </c>
      <c r="U97" t="s">
        <v>233</v>
      </c>
      <c r="V97" t="s">
        <v>328</v>
      </c>
      <c r="W97" t="s">
        <v>60</v>
      </c>
      <c r="X97" t="s">
        <v>60</v>
      </c>
      <c r="Y97" t="s">
        <v>55</v>
      </c>
      <c r="Z97" t="s">
        <v>56</v>
      </c>
      <c r="AA97" t="s">
        <v>60</v>
      </c>
      <c r="AB97" t="s">
        <v>60</v>
      </c>
      <c r="AC97" t="s">
        <v>60</v>
      </c>
      <c r="AD97" t="s">
        <v>60</v>
      </c>
      <c r="AE97" t="s">
        <v>60</v>
      </c>
      <c r="AF97" t="s">
        <v>60</v>
      </c>
      <c r="AI97" t="s">
        <v>167</v>
      </c>
      <c r="AJ97" t="s">
        <v>459</v>
      </c>
      <c r="AK97" t="s">
        <v>167</v>
      </c>
      <c r="AL97" t="s">
        <v>434</v>
      </c>
      <c r="AM97" t="s">
        <v>57</v>
      </c>
      <c r="AN97" t="s">
        <v>58</v>
      </c>
      <c r="AO97" t="s">
        <v>60</v>
      </c>
      <c r="AP97" t="s">
        <v>60</v>
      </c>
      <c r="AQ97" t="s">
        <v>60</v>
      </c>
      <c r="AR97" t="s">
        <v>60</v>
      </c>
      <c r="AV97" t="s">
        <v>59</v>
      </c>
      <c r="BB97" t="s">
        <v>550</v>
      </c>
      <c r="BL97" t="s">
        <v>551</v>
      </c>
      <c r="BM97" t="s">
        <v>14</v>
      </c>
      <c r="BN97" t="s">
        <v>298</v>
      </c>
      <c r="BO97" t="s">
        <v>293</v>
      </c>
      <c r="BP97">
        <v>2.48</v>
      </c>
      <c r="BQ97">
        <v>123.63</v>
      </c>
      <c r="BR97">
        <v>237.48</v>
      </c>
      <c r="BS97">
        <v>206.93</v>
      </c>
      <c r="BT97">
        <v>299.92</v>
      </c>
      <c r="BU97">
        <v>9.81</v>
      </c>
      <c r="BV97">
        <v>38.76</v>
      </c>
      <c r="BW97">
        <v>7.67</v>
      </c>
      <c r="BX97">
        <v>0</v>
      </c>
      <c r="BY97">
        <v>0</v>
      </c>
      <c r="BZ97">
        <v>8.7899999999999991</v>
      </c>
      <c r="CA97">
        <v>68.58</v>
      </c>
      <c r="CB97">
        <v>2.79</v>
      </c>
      <c r="CC97">
        <v>59.52</v>
      </c>
    </row>
    <row r="98" spans="1:81" x14ac:dyDescent="0.25">
      <c r="A98">
        <v>115</v>
      </c>
      <c r="B98" s="2">
        <v>45207</v>
      </c>
      <c r="C98" t="s">
        <v>311</v>
      </c>
      <c r="D98" s="4">
        <v>56</v>
      </c>
      <c r="E98" s="1">
        <v>9.81</v>
      </c>
      <c r="F98" s="1">
        <v>549.36</v>
      </c>
      <c r="G98" t="s">
        <v>172</v>
      </c>
      <c r="H98" t="s">
        <v>28</v>
      </c>
      <c r="I98" t="s">
        <v>45</v>
      </c>
      <c r="J98">
        <v>118.16000000000003</v>
      </c>
      <c r="K98" t="s">
        <v>135</v>
      </c>
      <c r="L98" t="s">
        <v>326</v>
      </c>
      <c r="M98" t="s">
        <v>372</v>
      </c>
      <c r="N98" t="s">
        <v>373</v>
      </c>
      <c r="O98" t="s">
        <v>60</v>
      </c>
      <c r="P98" t="s">
        <v>60</v>
      </c>
      <c r="Q98" t="s">
        <v>60</v>
      </c>
      <c r="R98" t="s">
        <v>60</v>
      </c>
      <c r="S98" t="s">
        <v>464</v>
      </c>
      <c r="T98" t="s">
        <v>465</v>
      </c>
      <c r="U98" t="s">
        <v>233</v>
      </c>
      <c r="V98" t="s">
        <v>328</v>
      </c>
      <c r="W98" t="s">
        <v>60</v>
      </c>
      <c r="X98" t="s">
        <v>60</v>
      </c>
      <c r="Y98" t="s">
        <v>55</v>
      </c>
      <c r="Z98" t="s">
        <v>56</v>
      </c>
      <c r="AA98" t="s">
        <v>60</v>
      </c>
      <c r="AB98" t="s">
        <v>60</v>
      </c>
      <c r="AC98" t="s">
        <v>60</v>
      </c>
      <c r="AD98" t="s">
        <v>60</v>
      </c>
      <c r="AE98" t="s">
        <v>60</v>
      </c>
      <c r="AF98" t="s">
        <v>60</v>
      </c>
      <c r="AG98" t="s">
        <v>372</v>
      </c>
      <c r="AH98" t="s">
        <v>458</v>
      </c>
      <c r="AI98" t="s">
        <v>167</v>
      </c>
      <c r="AJ98" t="s">
        <v>459</v>
      </c>
      <c r="AK98" t="s">
        <v>167</v>
      </c>
      <c r="AL98" t="s">
        <v>434</v>
      </c>
      <c r="AM98" t="s">
        <v>57</v>
      </c>
      <c r="AN98" t="s">
        <v>58</v>
      </c>
      <c r="AV98" t="s">
        <v>59</v>
      </c>
      <c r="BM98" t="s">
        <v>22</v>
      </c>
      <c r="BN98" t="s">
        <v>298</v>
      </c>
      <c r="BO98" t="s">
        <v>293</v>
      </c>
      <c r="BP98">
        <v>7.7</v>
      </c>
      <c r="BQ98">
        <v>123.63</v>
      </c>
      <c r="BR98">
        <v>237.48</v>
      </c>
      <c r="BS98">
        <v>206.93</v>
      </c>
      <c r="BT98">
        <v>299.92</v>
      </c>
      <c r="BU98">
        <v>9.81</v>
      </c>
      <c r="BV98">
        <v>38.76</v>
      </c>
      <c r="BW98">
        <v>7.67</v>
      </c>
      <c r="BX98">
        <v>0</v>
      </c>
      <c r="BY98">
        <v>0</v>
      </c>
      <c r="BZ98">
        <v>8.7899999999999991</v>
      </c>
      <c r="CA98">
        <v>68.58</v>
      </c>
      <c r="CB98">
        <v>2.79</v>
      </c>
      <c r="CC98">
        <v>431.2</v>
      </c>
    </row>
    <row r="99" spans="1:81" x14ac:dyDescent="0.25">
      <c r="A99">
        <v>115</v>
      </c>
      <c r="B99" s="2">
        <v>45207</v>
      </c>
      <c r="C99" t="s">
        <v>312</v>
      </c>
      <c r="D99" s="4">
        <v>6</v>
      </c>
      <c r="E99" s="1">
        <v>68.58</v>
      </c>
      <c r="F99" s="1">
        <v>411.48</v>
      </c>
      <c r="G99" t="s">
        <v>172</v>
      </c>
      <c r="H99" t="s">
        <v>28</v>
      </c>
      <c r="I99" t="s">
        <v>45</v>
      </c>
      <c r="J99">
        <v>81.480000000000018</v>
      </c>
      <c r="K99" t="s">
        <v>135</v>
      </c>
      <c r="L99" t="s">
        <v>326</v>
      </c>
      <c r="M99" t="s">
        <v>372</v>
      </c>
      <c r="N99" t="s">
        <v>373</v>
      </c>
      <c r="O99" t="s">
        <v>60</v>
      </c>
      <c r="P99" t="s">
        <v>60</v>
      </c>
      <c r="Q99" t="s">
        <v>60</v>
      </c>
      <c r="R99" t="s">
        <v>60</v>
      </c>
      <c r="S99" t="s">
        <v>464</v>
      </c>
      <c r="T99" t="s">
        <v>465</v>
      </c>
      <c r="U99" t="s">
        <v>233</v>
      </c>
      <c r="V99" t="s">
        <v>328</v>
      </c>
      <c r="W99" t="s">
        <v>60</v>
      </c>
      <c r="X99" t="s">
        <v>60</v>
      </c>
      <c r="Y99" t="s">
        <v>55</v>
      </c>
      <c r="Z99" t="s">
        <v>56</v>
      </c>
      <c r="AA99" t="s">
        <v>60</v>
      </c>
      <c r="AB99" t="s">
        <v>60</v>
      </c>
      <c r="AC99" t="s">
        <v>60</v>
      </c>
      <c r="AD99" t="s">
        <v>60</v>
      </c>
      <c r="AE99" t="s">
        <v>60</v>
      </c>
      <c r="AF99" t="s">
        <v>60</v>
      </c>
      <c r="AG99" t="s">
        <v>372</v>
      </c>
      <c r="AH99" t="s">
        <v>458</v>
      </c>
      <c r="AI99" t="s">
        <v>167</v>
      </c>
      <c r="AJ99" t="s">
        <v>459</v>
      </c>
      <c r="AK99">
        <v>6</v>
      </c>
      <c r="AL99">
        <v>330</v>
      </c>
      <c r="AM99" t="s">
        <v>57</v>
      </c>
      <c r="AN99" t="s">
        <v>58</v>
      </c>
      <c r="AO99">
        <v>0</v>
      </c>
      <c r="AP99">
        <v>0</v>
      </c>
      <c r="AQ99" t="s">
        <v>60</v>
      </c>
      <c r="AR99" t="s">
        <v>60</v>
      </c>
      <c r="AS99" t="s">
        <v>60</v>
      </c>
      <c r="AT99" t="s">
        <v>60</v>
      </c>
      <c r="AU99" t="s">
        <v>60</v>
      </c>
      <c r="AV99" t="s">
        <v>59</v>
      </c>
      <c r="AW99" t="s">
        <v>554</v>
      </c>
      <c r="AX99" t="s">
        <v>554</v>
      </c>
      <c r="AY99" t="s">
        <v>556</v>
      </c>
      <c r="AZ99" t="s">
        <v>557</v>
      </c>
      <c r="BA99" t="s">
        <v>555</v>
      </c>
      <c r="BB99" t="s">
        <v>550</v>
      </c>
      <c r="BC99" t="s">
        <v>121</v>
      </c>
      <c r="BD99" t="s">
        <v>580</v>
      </c>
      <c r="BE99" t="s">
        <v>60</v>
      </c>
      <c r="BF99" t="s">
        <v>60</v>
      </c>
      <c r="BG99" t="s">
        <v>60</v>
      </c>
      <c r="BH99" t="s">
        <v>60</v>
      </c>
      <c r="BI99" t="s">
        <v>60</v>
      </c>
      <c r="BJ99" t="s">
        <v>60</v>
      </c>
      <c r="BK99" t="s">
        <v>60</v>
      </c>
      <c r="BL99" t="s">
        <v>551</v>
      </c>
      <c r="BM99" t="s">
        <v>25</v>
      </c>
      <c r="BN99" t="s">
        <v>298</v>
      </c>
      <c r="BO99" t="s">
        <v>293</v>
      </c>
      <c r="BP99">
        <v>55</v>
      </c>
      <c r="BQ99">
        <v>123.63</v>
      </c>
      <c r="BR99">
        <v>237.48</v>
      </c>
      <c r="BS99">
        <v>206.93</v>
      </c>
      <c r="BT99">
        <v>299.92</v>
      </c>
      <c r="BU99">
        <v>9.81</v>
      </c>
      <c r="BV99">
        <v>38.76</v>
      </c>
      <c r="BW99">
        <v>7.67</v>
      </c>
      <c r="BX99">
        <v>0</v>
      </c>
      <c r="BY99">
        <v>0</v>
      </c>
      <c r="BZ99">
        <v>8.7899999999999991</v>
      </c>
      <c r="CA99">
        <v>68.58</v>
      </c>
      <c r="CB99">
        <v>2.79</v>
      </c>
      <c r="CC99">
        <v>330</v>
      </c>
    </row>
    <row r="100" spans="1:81" x14ac:dyDescent="0.25">
      <c r="B100" s="2"/>
      <c r="E100" s="3"/>
      <c r="F100" s="3">
        <f>SUBTOTAL(109,CBD_Invoice[Amount])</f>
        <v>73631.41</v>
      </c>
      <c r="CC100">
        <f>SUBTOTAL(109,CBD_Invoice[Cost Amount])</f>
        <v>55093.70999999997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27241-654D-46A2-A48A-5242B33C470A}">
  <sheetPr codeName="Sheet13">
    <tabColor rgb="FFFF0000"/>
  </sheetPr>
  <dimension ref="A1:CC27"/>
  <sheetViews>
    <sheetView workbookViewId="0">
      <selection sqref="A1:CC27"/>
    </sheetView>
  </sheetViews>
  <sheetFormatPr defaultRowHeight="15" x14ac:dyDescent="0.25"/>
  <cols>
    <col min="1" max="1" width="20.140625" bestFit="1" customWidth="1"/>
    <col min="2" max="2" width="10.85546875" bestFit="1" customWidth="1"/>
    <col min="3" max="3" width="56.85546875" bestFit="1" customWidth="1"/>
    <col min="4" max="4" width="7.140625" bestFit="1" customWidth="1"/>
    <col min="5" max="5" width="7.28515625" bestFit="1" customWidth="1"/>
    <col min="6" max="6" width="10.42578125" bestFit="1" customWidth="1"/>
    <col min="7" max="7" width="10.7109375" bestFit="1" customWidth="1"/>
    <col min="8" max="8" width="18.5703125" bestFit="1" customWidth="1"/>
    <col min="9" max="9" width="8.5703125" bestFit="1" customWidth="1"/>
    <col min="10" max="10" width="9.5703125" bestFit="1" customWidth="1"/>
    <col min="11" max="11" width="21.42578125" bestFit="1" customWidth="1"/>
    <col min="12" max="12" width="19.140625" bestFit="1" customWidth="1"/>
    <col min="13" max="13" width="20" bestFit="1" customWidth="1"/>
    <col min="14" max="14" width="17.7109375" bestFit="1" customWidth="1"/>
    <col min="15" max="15" width="20.42578125" bestFit="1" customWidth="1"/>
    <col min="16" max="16" width="18.140625" bestFit="1" customWidth="1"/>
    <col min="17" max="17" width="28" bestFit="1" customWidth="1"/>
    <col min="18" max="18" width="25.7109375" bestFit="1" customWidth="1"/>
    <col min="19" max="19" width="18" bestFit="1" customWidth="1"/>
    <col min="20" max="20" width="15.85546875" bestFit="1" customWidth="1"/>
    <col min="21" max="21" width="17" bestFit="1" customWidth="1"/>
    <col min="22" max="22" width="14.7109375" bestFit="1" customWidth="1"/>
    <col min="23" max="23" width="23" bestFit="1" customWidth="1"/>
    <col min="24" max="24" width="20.85546875" bestFit="1" customWidth="1"/>
    <col min="25" max="25" width="20.7109375" bestFit="1" customWidth="1"/>
    <col min="26" max="26" width="13.140625" bestFit="1" customWidth="1"/>
    <col min="27" max="27" width="20" bestFit="1" customWidth="1"/>
    <col min="28" max="28" width="17.7109375" bestFit="1" customWidth="1"/>
    <col min="29" max="29" width="20.42578125" bestFit="1" customWidth="1"/>
    <col min="30" max="30" width="18.140625" bestFit="1" customWidth="1"/>
    <col min="31" max="31" width="20.7109375" bestFit="1" customWidth="1"/>
    <col min="32" max="32" width="18.42578125" bestFit="1" customWidth="1"/>
    <col min="33" max="33" width="42.28515625" bestFit="1" customWidth="1"/>
    <col min="34" max="34" width="40" bestFit="1" customWidth="1"/>
    <col min="35" max="35" width="32.85546875" bestFit="1" customWidth="1"/>
    <col min="36" max="36" width="29.140625" bestFit="1" customWidth="1"/>
    <col min="37" max="37" width="32" bestFit="1" customWidth="1"/>
    <col min="38" max="38" width="27.28515625" bestFit="1" customWidth="1"/>
    <col min="39" max="39" width="13.140625" bestFit="1" customWidth="1"/>
    <col min="40" max="40" width="18.28515625" bestFit="1" customWidth="1"/>
    <col min="41" max="41" width="32.7109375" bestFit="1" customWidth="1"/>
    <col min="42" max="42" width="28.140625" bestFit="1" customWidth="1"/>
    <col min="43" max="43" width="40" bestFit="1" customWidth="1"/>
    <col min="44" max="44" width="36.42578125" bestFit="1" customWidth="1"/>
    <col min="45" max="45" width="33.140625" bestFit="1" customWidth="1"/>
    <col min="46" max="46" width="15.42578125" bestFit="1" customWidth="1"/>
    <col min="47" max="47" width="13.140625" bestFit="1" customWidth="1"/>
    <col min="48" max="48" width="16" bestFit="1" customWidth="1"/>
    <col min="49" max="49" width="8.28515625" bestFit="1" customWidth="1"/>
    <col min="50" max="50" width="17.28515625" bestFit="1" customWidth="1"/>
    <col min="51" max="51" width="7.5703125" bestFit="1" customWidth="1"/>
    <col min="52" max="52" width="17.5703125" bestFit="1" customWidth="1"/>
    <col min="53" max="53" width="11.140625" bestFit="1" customWidth="1"/>
    <col min="54" max="54" width="26.42578125" bestFit="1" customWidth="1"/>
    <col min="55" max="55" width="21" bestFit="1" customWidth="1"/>
    <col min="56" max="56" width="34.42578125" bestFit="1" customWidth="1"/>
    <col min="57" max="57" width="27.42578125" bestFit="1" customWidth="1"/>
    <col min="58" max="58" width="27.140625" bestFit="1" customWidth="1"/>
    <col min="59" max="59" width="24.140625" bestFit="1" customWidth="1"/>
    <col min="60" max="63" width="5.28515625" bestFit="1" customWidth="1"/>
    <col min="64" max="64" width="24.28515625" bestFit="1" customWidth="1"/>
    <col min="65" max="65" width="31" bestFit="1" customWidth="1"/>
    <col min="66" max="66" width="8.5703125" bestFit="1" customWidth="1"/>
    <col min="67" max="67" width="11.140625" bestFit="1" customWidth="1"/>
    <col min="68" max="68" width="11.5703125" bestFit="1" customWidth="1"/>
    <col min="69" max="69" width="7" bestFit="1" customWidth="1"/>
    <col min="70" max="70" width="10.28515625" bestFit="1" customWidth="1"/>
    <col min="71" max="71" width="7" bestFit="1" customWidth="1"/>
    <col min="72" max="72" width="7" customWidth="1"/>
    <col min="73" max="73" width="16.5703125" bestFit="1" customWidth="1"/>
    <col min="74" max="74" width="26.85546875" bestFit="1" customWidth="1"/>
    <col min="75" max="75" width="12.85546875" bestFit="1" customWidth="1"/>
    <col min="76" max="76" width="17" bestFit="1" customWidth="1"/>
    <col min="77" max="77" width="30.85546875" bestFit="1" customWidth="1"/>
    <col min="78" max="78" width="12.85546875" bestFit="1" customWidth="1"/>
    <col min="79" max="79" width="26" bestFit="1" customWidth="1"/>
    <col min="80" max="80" width="33.28515625" bestFit="1" customWidth="1"/>
    <col min="81" max="82" width="14.7109375" bestFit="1" customWidth="1"/>
    <col min="83" max="83" width="12.85546875" bestFit="1" customWidth="1"/>
    <col min="84" max="84" width="17" bestFit="1" customWidth="1"/>
    <col min="85" max="85" width="30.85546875" bestFit="1" customWidth="1"/>
    <col min="86" max="86" width="12.85546875" bestFit="1" customWidth="1"/>
    <col min="87" max="87" width="26" bestFit="1" customWidth="1"/>
    <col min="88" max="88" width="33.28515625" bestFit="1" customWidth="1"/>
    <col min="89" max="89" width="14.7109375" bestFit="1" customWidth="1"/>
    <col min="90" max="90" width="17" bestFit="1" customWidth="1"/>
    <col min="91" max="91" width="30.85546875" bestFit="1" customWidth="1"/>
    <col min="92" max="92" width="12.85546875" bestFit="1" customWidth="1"/>
    <col min="93" max="93" width="26" bestFit="1" customWidth="1"/>
    <col min="94" max="94" width="33.28515625" bestFit="1" customWidth="1"/>
    <col min="95" max="95" width="14.7109375" bestFit="1" customWidth="1"/>
    <col min="96" max="96" width="26" bestFit="1" customWidth="1"/>
    <col min="97" max="97" width="33.28515625" bestFit="1" customWidth="1"/>
    <col min="98" max="98" width="14.7109375" bestFit="1" customWidth="1"/>
    <col min="99" max="99" width="12.85546875" customWidth="1"/>
    <col min="100" max="100" width="26" bestFit="1" customWidth="1"/>
    <col min="101" max="101" width="33.28515625" bestFit="1" customWidth="1"/>
    <col min="102" max="102" width="14.7109375" bestFit="1" customWidth="1"/>
    <col min="103" max="103" width="30.85546875" bestFit="1" customWidth="1"/>
    <col min="104" max="104" width="12.85546875" bestFit="1" customWidth="1"/>
    <col min="105" max="105" width="26" bestFit="1" customWidth="1"/>
    <col min="106" max="106" width="33.28515625" bestFit="1" customWidth="1"/>
    <col min="107" max="107" width="14.7109375" bestFit="1" customWidth="1"/>
    <col min="108" max="108" width="26" bestFit="1" customWidth="1"/>
    <col min="109" max="109" width="33.28515625" bestFit="1" customWidth="1"/>
    <col min="110" max="110" width="14.7109375" bestFit="1" customWidth="1"/>
    <col min="111" max="111" width="12.85546875" bestFit="1" customWidth="1"/>
    <col min="112" max="112" width="26" bestFit="1" customWidth="1"/>
    <col min="113" max="113" width="33.28515625" bestFit="1" customWidth="1"/>
    <col min="114" max="114" width="14.7109375" customWidth="1"/>
    <col min="115" max="115" width="12.85546875" bestFit="1" customWidth="1"/>
    <col min="116" max="116" width="17" bestFit="1" customWidth="1"/>
    <col min="117" max="117" width="30.85546875" bestFit="1" customWidth="1"/>
    <col min="118" max="118" width="12.85546875" bestFit="1" customWidth="1"/>
    <col min="119" max="119" width="26" bestFit="1" customWidth="1"/>
    <col min="120" max="120" width="33.28515625" bestFit="1" customWidth="1"/>
    <col min="121" max="121" width="14.7109375" bestFit="1" customWidth="1"/>
    <col min="122" max="122" width="30.85546875" bestFit="1" customWidth="1"/>
    <col min="123" max="123" width="12.85546875" customWidth="1"/>
    <col min="124" max="124" width="26" bestFit="1" customWidth="1"/>
    <col min="125" max="125" width="33.28515625" bestFit="1" customWidth="1"/>
    <col min="126" max="126" width="14.7109375" bestFit="1" customWidth="1"/>
    <col min="127" max="127" width="33.28515625" bestFit="1" customWidth="1"/>
    <col min="128" max="128" width="14.7109375" bestFit="1" customWidth="1"/>
    <col min="129" max="129" width="17" bestFit="1" customWidth="1"/>
    <col min="130" max="130" width="30.85546875" bestFit="1" customWidth="1"/>
    <col min="131" max="131" width="12.85546875" bestFit="1" customWidth="1"/>
    <col min="132" max="132" width="26" bestFit="1" customWidth="1"/>
    <col min="133" max="133" width="33.28515625" bestFit="1" customWidth="1"/>
    <col min="134" max="134" width="14.7109375" bestFit="1" customWidth="1"/>
    <col min="135" max="135" width="26" bestFit="1" customWidth="1"/>
    <col min="136" max="136" width="33.28515625" bestFit="1" customWidth="1"/>
    <col min="137" max="137" width="14.7109375" bestFit="1" customWidth="1"/>
    <col min="138" max="138" width="12.85546875" customWidth="1"/>
    <col min="139" max="139" width="26" bestFit="1" customWidth="1"/>
    <col min="140" max="140" width="33.28515625" bestFit="1" customWidth="1"/>
    <col min="141" max="141" width="14.7109375" bestFit="1" customWidth="1"/>
    <col min="142" max="142" width="33.28515625" bestFit="1" customWidth="1"/>
    <col min="143" max="143" width="14.7109375" bestFit="1" customWidth="1"/>
    <col min="144" max="144" width="17" bestFit="1" customWidth="1"/>
    <col min="145" max="145" width="30.85546875" bestFit="1" customWidth="1"/>
    <col min="146" max="146" width="12.85546875" bestFit="1" customWidth="1"/>
    <col min="147" max="147" width="26" bestFit="1" customWidth="1"/>
    <col min="148" max="148" width="33.28515625" bestFit="1" customWidth="1"/>
    <col min="149" max="149" width="14.7109375" bestFit="1" customWidth="1"/>
    <col min="150" max="150" width="26.85546875" bestFit="1" customWidth="1"/>
    <col min="151" max="151" width="12.85546875" bestFit="1" customWidth="1"/>
    <col min="152" max="152" width="17" bestFit="1" customWidth="1"/>
    <col min="153" max="153" width="30.85546875" bestFit="1" customWidth="1"/>
    <col min="154" max="154" width="12.85546875" customWidth="1"/>
    <col min="155" max="155" width="26" bestFit="1" customWidth="1"/>
    <col min="156" max="156" width="33.28515625" bestFit="1" customWidth="1"/>
    <col min="157" max="157" width="14.7109375" bestFit="1" customWidth="1"/>
    <col min="158" max="158" width="17" bestFit="1" customWidth="1"/>
    <col min="159" max="159" width="30.85546875" bestFit="1" customWidth="1"/>
    <col min="160" max="160" width="12.85546875" bestFit="1" customWidth="1"/>
    <col min="161" max="161" width="26" bestFit="1" customWidth="1"/>
    <col min="162" max="162" width="33.28515625" bestFit="1" customWidth="1"/>
    <col min="163" max="163" width="14.7109375" bestFit="1" customWidth="1"/>
    <col min="164" max="164" width="16.42578125" bestFit="1" customWidth="1"/>
    <col min="165" max="165" width="29.5703125" bestFit="1" customWidth="1"/>
    <col min="166" max="166" width="12.42578125" bestFit="1" customWidth="1"/>
    <col min="167" max="167" width="24.85546875" bestFit="1" customWidth="1"/>
    <col min="168" max="168" width="31.85546875" bestFit="1" customWidth="1"/>
    <col min="169" max="169" width="14.140625" bestFit="1" customWidth="1"/>
    <col min="170" max="170" width="5.5703125" bestFit="1" customWidth="1"/>
    <col min="171" max="171" width="15.85546875" bestFit="1" customWidth="1"/>
    <col min="172" max="172" width="25.7109375" bestFit="1" customWidth="1"/>
    <col min="173" max="173" width="12.42578125" bestFit="1" customWidth="1"/>
    <col min="174" max="174" width="16.42578125" bestFit="1" customWidth="1"/>
    <col min="175" max="175" width="29.5703125" bestFit="1" customWidth="1"/>
    <col min="176" max="176" width="12.42578125" bestFit="1" customWidth="1"/>
    <col min="177" max="177" width="24.85546875" bestFit="1" customWidth="1"/>
    <col min="178" max="178" width="31.85546875" bestFit="1" customWidth="1"/>
    <col min="179" max="179" width="14.140625" bestFit="1" customWidth="1"/>
    <col min="180" max="180" width="12.85546875" bestFit="1" customWidth="1"/>
    <col min="181" max="181" width="26" bestFit="1" customWidth="1"/>
    <col min="182" max="182" width="33.28515625" bestFit="1" customWidth="1"/>
    <col min="183" max="183" width="14.7109375" bestFit="1" customWidth="1"/>
    <col min="184" max="184" width="12.85546875" bestFit="1" customWidth="1"/>
    <col min="185" max="185" width="17" bestFit="1" customWidth="1"/>
    <col min="186" max="186" width="12.85546875" bestFit="1" customWidth="1"/>
    <col min="187" max="187" width="26" bestFit="1" customWidth="1"/>
    <col min="188" max="188" width="33.28515625" bestFit="1" customWidth="1"/>
    <col min="189" max="189" width="14.7109375" bestFit="1" customWidth="1"/>
    <col min="190" max="190" width="12.85546875" bestFit="1" customWidth="1"/>
    <col min="191" max="191" width="26" bestFit="1" customWidth="1"/>
    <col min="192" max="192" width="33.28515625" bestFit="1" customWidth="1"/>
    <col min="193" max="193" width="14.7109375" bestFit="1" customWidth="1"/>
    <col min="194" max="194" width="16.5703125" bestFit="1" customWidth="1"/>
    <col min="195" max="195" width="26.85546875" bestFit="1" customWidth="1"/>
    <col min="196" max="196" width="12.85546875" bestFit="1" customWidth="1"/>
    <col min="197" max="197" width="17" bestFit="1" customWidth="1"/>
    <col min="198" max="198" width="12.85546875" customWidth="1"/>
    <col min="199" max="199" width="26" bestFit="1" customWidth="1"/>
    <col min="200" max="200" width="33.28515625" bestFit="1" customWidth="1"/>
    <col min="201" max="201" width="14.7109375" bestFit="1" customWidth="1"/>
    <col min="202" max="202" width="17" bestFit="1" customWidth="1"/>
    <col min="203" max="203" width="12.85546875" bestFit="1" customWidth="1"/>
    <col min="204" max="204" width="26" bestFit="1" customWidth="1"/>
    <col min="205" max="205" width="33.28515625" bestFit="1" customWidth="1"/>
    <col min="206" max="206" width="14.7109375" bestFit="1" customWidth="1"/>
    <col min="207" max="207" width="12.85546875" bestFit="1" customWidth="1"/>
    <col min="208" max="208" width="17" bestFit="1" customWidth="1"/>
    <col min="209" max="209" width="12.85546875" bestFit="1" customWidth="1"/>
    <col min="210" max="210" width="26" bestFit="1" customWidth="1"/>
    <col min="211" max="211" width="33.28515625" bestFit="1" customWidth="1"/>
    <col min="212" max="212" width="14.7109375" bestFit="1" customWidth="1"/>
    <col min="213" max="213" width="16.5703125" bestFit="1" customWidth="1"/>
    <col min="214" max="214" width="26.85546875" bestFit="1" customWidth="1"/>
    <col min="215" max="215" width="12.85546875" bestFit="1" customWidth="1"/>
    <col min="216" max="216" width="17" bestFit="1" customWidth="1"/>
    <col min="217" max="217" width="12.85546875" bestFit="1" customWidth="1"/>
    <col min="218" max="218" width="26" bestFit="1" customWidth="1"/>
    <col min="219" max="219" width="33.28515625" bestFit="1" customWidth="1"/>
    <col min="220" max="220" width="14.7109375" bestFit="1" customWidth="1"/>
    <col min="221" max="221" width="12.85546875" bestFit="1" customWidth="1"/>
    <col min="222" max="222" width="26" bestFit="1" customWidth="1"/>
    <col min="223" max="223" width="33.28515625" bestFit="1" customWidth="1"/>
    <col min="224" max="224" width="14.7109375" bestFit="1" customWidth="1"/>
    <col min="225" max="225" width="12.85546875" bestFit="1" customWidth="1"/>
    <col min="226" max="226" width="26" bestFit="1" customWidth="1"/>
    <col min="227" max="227" width="33.28515625" bestFit="1" customWidth="1"/>
    <col min="228" max="228" width="14.7109375" bestFit="1" customWidth="1"/>
    <col min="229" max="229" width="33.28515625" bestFit="1" customWidth="1"/>
    <col min="230" max="230" width="14.7109375" bestFit="1" customWidth="1"/>
    <col min="231" max="231" width="16.5703125" bestFit="1" customWidth="1"/>
    <col min="232" max="232" width="26.85546875" bestFit="1" customWidth="1"/>
    <col min="233" max="233" width="12.85546875" bestFit="1" customWidth="1"/>
    <col min="234" max="234" width="17" bestFit="1" customWidth="1"/>
    <col min="235" max="235" width="12.85546875" bestFit="1" customWidth="1"/>
    <col min="236" max="236" width="26" bestFit="1" customWidth="1"/>
    <col min="237" max="237" width="33.28515625" bestFit="1" customWidth="1"/>
    <col min="238" max="238" width="14.7109375" bestFit="1" customWidth="1"/>
    <col min="239" max="239" width="33.28515625" bestFit="1" customWidth="1"/>
    <col min="240" max="240" width="14.7109375" bestFit="1" customWidth="1"/>
    <col min="241" max="241" width="33.28515625" bestFit="1" customWidth="1"/>
    <col min="242" max="242" width="14.7109375" bestFit="1" customWidth="1"/>
    <col min="243" max="243" width="16.5703125" bestFit="1" customWidth="1"/>
    <col min="244" max="244" width="26.85546875" bestFit="1" customWidth="1"/>
    <col min="245" max="245" width="12.85546875" bestFit="1" customWidth="1"/>
    <col min="246" max="246" width="17" bestFit="1" customWidth="1"/>
    <col min="247" max="247" width="12.85546875" bestFit="1" customWidth="1"/>
    <col min="248" max="248" width="26" bestFit="1" customWidth="1"/>
    <col min="249" max="249" width="33.28515625" bestFit="1" customWidth="1"/>
    <col min="250" max="250" width="14.7109375" bestFit="1" customWidth="1"/>
    <col min="251" max="251" width="16.5703125" bestFit="1" customWidth="1"/>
    <col min="252" max="252" width="26.85546875" bestFit="1" customWidth="1"/>
    <col min="253" max="253" width="12.85546875" bestFit="1" customWidth="1"/>
    <col min="254" max="254" width="17" bestFit="1" customWidth="1"/>
    <col min="255" max="255" width="12.85546875" bestFit="1" customWidth="1"/>
    <col min="256" max="256" width="26" bestFit="1" customWidth="1"/>
    <col min="257" max="257" width="33.28515625" bestFit="1" customWidth="1"/>
    <col min="258" max="258" width="14.7109375" bestFit="1" customWidth="1"/>
    <col min="259" max="260" width="5.7109375" bestFit="1" customWidth="1"/>
    <col min="261" max="261" width="16.5703125" bestFit="1" customWidth="1"/>
    <col min="262" max="262" width="26.85546875" bestFit="1" customWidth="1"/>
    <col min="263" max="263" width="12.85546875" customWidth="1"/>
    <col min="264" max="264" width="17" bestFit="1" customWidth="1"/>
    <col min="265" max="265" width="12.85546875" customWidth="1"/>
    <col min="266" max="266" width="26" bestFit="1" customWidth="1"/>
    <col min="267" max="267" width="33.28515625" bestFit="1" customWidth="1"/>
    <col min="268" max="268" width="14.7109375" bestFit="1" customWidth="1"/>
    <col min="269" max="269" width="17" bestFit="1" customWidth="1"/>
    <col min="270" max="270" width="12.85546875" customWidth="1"/>
    <col min="271" max="271" width="26" bestFit="1" customWidth="1"/>
    <col min="272" max="272" width="33.28515625" bestFit="1" customWidth="1"/>
    <col min="273" max="273" width="14.7109375" bestFit="1" customWidth="1"/>
    <col min="274" max="274" width="26" bestFit="1" customWidth="1"/>
    <col min="275" max="275" width="33.28515625" bestFit="1" customWidth="1"/>
    <col min="276" max="276" width="14.7109375" bestFit="1" customWidth="1"/>
    <col min="277" max="277" width="11.5703125" bestFit="1" customWidth="1"/>
    <col min="278" max="278" width="5.7109375" bestFit="1" customWidth="1"/>
    <col min="279" max="279" width="10.28515625" bestFit="1" customWidth="1"/>
    <col min="280" max="281" width="5.7109375" bestFit="1" customWidth="1"/>
    <col min="282" max="282" width="16.5703125" bestFit="1" customWidth="1"/>
    <col min="283" max="283" width="26.85546875" bestFit="1" customWidth="1"/>
    <col min="284" max="284" width="12.85546875" bestFit="1" customWidth="1"/>
    <col min="285" max="285" width="17" bestFit="1" customWidth="1"/>
    <col min="286" max="286" width="12.85546875" bestFit="1" customWidth="1"/>
    <col min="287" max="287" width="26" bestFit="1" customWidth="1"/>
    <col min="288" max="288" width="33.28515625" bestFit="1" customWidth="1"/>
    <col min="289" max="289" width="14.7109375" bestFit="1" customWidth="1"/>
    <col min="290" max="290" width="33.28515625" bestFit="1" customWidth="1"/>
    <col min="291" max="291" width="14.7109375" bestFit="1" customWidth="1"/>
    <col min="292" max="292" width="16.5703125" bestFit="1" customWidth="1"/>
    <col min="293" max="293" width="26.85546875" bestFit="1" customWidth="1"/>
    <col min="294" max="294" width="12.85546875" customWidth="1"/>
    <col min="295" max="295" width="17" bestFit="1" customWidth="1"/>
    <col min="296" max="296" width="12.85546875" customWidth="1"/>
    <col min="297" max="297" width="26" bestFit="1" customWidth="1"/>
    <col min="298" max="298" width="33.28515625" bestFit="1" customWidth="1"/>
    <col min="299" max="299" width="14.7109375" bestFit="1" customWidth="1"/>
    <col min="300" max="300" width="17" bestFit="1" customWidth="1"/>
    <col min="301" max="301" width="12.85546875" customWidth="1"/>
    <col min="302" max="302" width="26" bestFit="1" customWidth="1"/>
    <col min="303" max="303" width="33.28515625" bestFit="1" customWidth="1"/>
    <col min="304" max="304" width="14.7109375" bestFit="1" customWidth="1"/>
    <col min="305" max="305" width="26" bestFit="1" customWidth="1"/>
    <col min="306" max="306" width="33.28515625" bestFit="1" customWidth="1"/>
    <col min="307" max="307" width="14.7109375" bestFit="1" customWidth="1"/>
    <col min="308" max="308" width="17" customWidth="1"/>
    <col min="309" max="309" width="12.85546875" bestFit="1" customWidth="1"/>
    <col min="310" max="310" width="26" bestFit="1" customWidth="1"/>
    <col min="311" max="311" width="33.28515625" bestFit="1" customWidth="1"/>
    <col min="312" max="312" width="14.7109375" bestFit="1" customWidth="1"/>
    <col min="313" max="313" width="12.85546875" bestFit="1" customWidth="1"/>
    <col min="314" max="314" width="26" bestFit="1" customWidth="1"/>
    <col min="315" max="315" width="33.28515625" bestFit="1" customWidth="1"/>
    <col min="316" max="316" width="14.7109375" bestFit="1" customWidth="1"/>
    <col min="317" max="317" width="12.85546875" bestFit="1" customWidth="1"/>
    <col min="318" max="318" width="17" bestFit="1" customWidth="1"/>
    <col min="319" max="319" width="12.85546875" bestFit="1" customWidth="1"/>
    <col min="320" max="320" width="26" bestFit="1" customWidth="1"/>
    <col min="321" max="321" width="33.28515625" bestFit="1" customWidth="1"/>
    <col min="322" max="322" width="14.7109375" bestFit="1" customWidth="1"/>
    <col min="323" max="323" width="12.85546875" bestFit="1" customWidth="1"/>
    <col min="324" max="324" width="17" bestFit="1" customWidth="1"/>
    <col min="325" max="325" width="12.85546875" bestFit="1" customWidth="1"/>
    <col min="326" max="326" width="26" bestFit="1" customWidth="1"/>
    <col min="327" max="327" width="33.28515625" bestFit="1" customWidth="1"/>
    <col min="328" max="328" width="14.7109375" bestFit="1" customWidth="1"/>
    <col min="329" max="329" width="26" bestFit="1" customWidth="1"/>
    <col min="330" max="330" width="33.28515625" bestFit="1" customWidth="1"/>
    <col min="331" max="331" width="14.7109375" bestFit="1" customWidth="1"/>
    <col min="332" max="332" width="33.28515625" bestFit="1" customWidth="1"/>
    <col min="333" max="333" width="14.7109375" bestFit="1" customWidth="1"/>
    <col min="334" max="334" width="12.85546875" bestFit="1" customWidth="1"/>
    <col min="335" max="335" width="26" bestFit="1" customWidth="1"/>
    <col min="336" max="336" width="33.28515625" bestFit="1" customWidth="1"/>
    <col min="337" max="337" width="14.7109375" bestFit="1" customWidth="1"/>
    <col min="338" max="338" width="12.85546875" customWidth="1"/>
    <col min="339" max="339" width="26" bestFit="1" customWidth="1"/>
    <col min="340" max="340" width="33.28515625" bestFit="1" customWidth="1"/>
    <col min="341" max="341" width="14.7109375" bestFit="1" customWidth="1"/>
    <col min="342" max="342" width="26" bestFit="1" customWidth="1"/>
    <col min="343" max="343" width="33.28515625" bestFit="1" customWidth="1"/>
    <col min="344" max="344" width="14.7109375" bestFit="1" customWidth="1"/>
    <col min="345" max="345" width="17" bestFit="1" customWidth="1"/>
    <col min="346" max="346" width="12.85546875" bestFit="1" customWidth="1"/>
    <col min="347" max="347" width="26" bestFit="1" customWidth="1"/>
    <col min="348" max="348" width="33.28515625" bestFit="1" customWidth="1"/>
    <col min="349" max="349" width="14.7109375" bestFit="1" customWidth="1"/>
    <col min="350" max="350" width="26" bestFit="1" customWidth="1"/>
    <col min="351" max="351" width="33.28515625" bestFit="1" customWidth="1"/>
    <col min="352" max="352" width="14.7109375" bestFit="1" customWidth="1"/>
    <col min="353" max="353" width="26" bestFit="1" customWidth="1"/>
    <col min="354" max="354" width="33.28515625" bestFit="1" customWidth="1"/>
    <col min="355" max="355" width="14.7109375" bestFit="1" customWidth="1"/>
    <col min="356" max="356" width="26" bestFit="1" customWidth="1"/>
    <col min="357" max="357" width="33.28515625" bestFit="1" customWidth="1"/>
    <col min="358" max="358" width="14.7109375" bestFit="1" customWidth="1"/>
    <col min="359" max="359" width="26" bestFit="1" customWidth="1"/>
    <col min="360" max="360" width="33.28515625" bestFit="1" customWidth="1"/>
    <col min="361" max="361" width="14.7109375" bestFit="1" customWidth="1"/>
    <col min="362" max="362" width="12.85546875" customWidth="1"/>
    <col min="363" max="363" width="26" bestFit="1" customWidth="1"/>
    <col min="364" max="364" width="33.28515625" bestFit="1" customWidth="1"/>
    <col min="365" max="365" width="14.7109375" bestFit="1" customWidth="1"/>
    <col min="366" max="366" width="26" bestFit="1" customWidth="1"/>
    <col min="367" max="367" width="33.28515625" bestFit="1" customWidth="1"/>
    <col min="368" max="368" width="14.7109375" bestFit="1" customWidth="1"/>
    <col min="369" max="369" width="26" bestFit="1" customWidth="1"/>
    <col min="370" max="370" width="33.28515625" bestFit="1" customWidth="1"/>
    <col min="371" max="371" width="14.7109375" bestFit="1" customWidth="1"/>
    <col min="372" max="372" width="17" bestFit="1" customWidth="1"/>
    <col min="373" max="373" width="12.85546875" bestFit="1" customWidth="1"/>
    <col min="374" max="374" width="26" bestFit="1" customWidth="1"/>
    <col min="375" max="375" width="33.28515625" bestFit="1" customWidth="1"/>
    <col min="376" max="376" width="14.7109375" bestFit="1" customWidth="1"/>
    <col min="377" max="377" width="12.85546875" bestFit="1" customWidth="1"/>
    <col min="378" max="378" width="26" bestFit="1" customWidth="1"/>
    <col min="379" max="379" width="33.28515625" bestFit="1" customWidth="1"/>
    <col min="380" max="380" width="14.7109375" bestFit="1" customWidth="1"/>
    <col min="381" max="381" width="12.85546875" customWidth="1"/>
    <col min="382" max="382" width="17" bestFit="1" customWidth="1"/>
    <col min="383" max="383" width="12.85546875" customWidth="1"/>
    <col min="384" max="384" width="26" bestFit="1" customWidth="1"/>
    <col min="385" max="385" width="33.28515625" bestFit="1" customWidth="1"/>
    <col min="386" max="386" width="14.7109375" bestFit="1" customWidth="1"/>
    <col min="387" max="387" width="17" bestFit="1" customWidth="1"/>
    <col min="388" max="388" width="12.85546875" bestFit="1" customWidth="1"/>
    <col min="389" max="389" width="26" bestFit="1" customWidth="1"/>
    <col min="390" max="390" width="33.28515625" bestFit="1" customWidth="1"/>
    <col min="391" max="391" width="14.7109375" bestFit="1" customWidth="1"/>
    <col min="392" max="392" width="12.85546875" customWidth="1"/>
    <col min="393" max="393" width="26" bestFit="1" customWidth="1"/>
    <col min="394" max="394" width="33.28515625" bestFit="1" customWidth="1"/>
    <col min="395" max="395" width="14.7109375" bestFit="1" customWidth="1"/>
    <col min="396" max="396" width="33.28515625" bestFit="1" customWidth="1"/>
    <col min="397" max="397" width="14.7109375" bestFit="1" customWidth="1"/>
    <col min="398" max="398" width="33.28515625" bestFit="1" customWidth="1"/>
    <col min="399" max="399" width="14.7109375" bestFit="1" customWidth="1"/>
    <col min="400" max="400" width="33.28515625" bestFit="1" customWidth="1"/>
    <col min="401" max="401" width="14.7109375" bestFit="1" customWidth="1"/>
    <col min="402" max="402" width="33.28515625" bestFit="1" customWidth="1"/>
    <col min="403" max="403" width="14.7109375" bestFit="1" customWidth="1"/>
    <col min="404" max="404" width="17" bestFit="1" customWidth="1"/>
    <col min="405" max="405" width="12.85546875" bestFit="1" customWidth="1"/>
    <col min="406" max="406" width="26" bestFit="1" customWidth="1"/>
    <col min="407" max="407" width="33.28515625" bestFit="1" customWidth="1"/>
    <col min="408" max="408" width="14.7109375" bestFit="1" customWidth="1"/>
    <col min="409" max="409" width="26.85546875" bestFit="1" customWidth="1"/>
    <col min="410" max="410" width="12.85546875" bestFit="1" customWidth="1"/>
    <col min="411" max="411" width="17" bestFit="1" customWidth="1"/>
    <col min="412" max="412" width="12.85546875" customWidth="1"/>
    <col min="413" max="413" width="26" bestFit="1" customWidth="1"/>
    <col min="414" max="414" width="33.28515625" bestFit="1" customWidth="1"/>
    <col min="415" max="415" width="14.7109375" bestFit="1" customWidth="1"/>
    <col min="416" max="416" width="17" bestFit="1" customWidth="1"/>
    <col min="417" max="417" width="12.85546875" bestFit="1" customWidth="1"/>
    <col min="418" max="418" width="26" bestFit="1" customWidth="1"/>
    <col min="419" max="419" width="33.28515625" bestFit="1" customWidth="1"/>
    <col min="420" max="420" width="14.7109375" bestFit="1" customWidth="1"/>
    <col min="421" max="421" width="15.85546875" bestFit="1" customWidth="1"/>
    <col min="422" max="422" width="12.140625" bestFit="1" customWidth="1"/>
    <col min="423" max="423" width="24.28515625" bestFit="1" customWidth="1"/>
    <col min="424" max="424" width="30.85546875" bestFit="1" customWidth="1"/>
    <col min="425" max="425" width="14.140625" bestFit="1" customWidth="1"/>
  </cols>
  <sheetData>
    <row r="1" spans="1:81" x14ac:dyDescent="0.25">
      <c r="A1" t="s">
        <v>0</v>
      </c>
      <c r="B1" t="s">
        <v>38</v>
      </c>
      <c r="C1" t="s">
        <v>46</v>
      </c>
      <c r="D1" t="s">
        <v>17</v>
      </c>
      <c r="E1" t="s">
        <v>42</v>
      </c>
      <c r="F1" t="s">
        <v>41</v>
      </c>
      <c r="G1" t="s">
        <v>44</v>
      </c>
      <c r="H1" t="s">
        <v>1</v>
      </c>
      <c r="I1" t="s">
        <v>43</v>
      </c>
      <c r="J1" t="s">
        <v>65</v>
      </c>
      <c r="K1" t="s">
        <v>124</v>
      </c>
      <c r="L1" t="s">
        <v>125</v>
      </c>
      <c r="M1" t="s">
        <v>126</v>
      </c>
      <c r="N1" t="s">
        <v>127</v>
      </c>
      <c r="O1" t="s">
        <v>418</v>
      </c>
      <c r="P1" t="s">
        <v>419</v>
      </c>
      <c r="Q1" t="s">
        <v>420</v>
      </c>
      <c r="R1" t="s">
        <v>421</v>
      </c>
      <c r="S1" t="s">
        <v>366</v>
      </c>
      <c r="T1" t="s">
        <v>367</v>
      </c>
      <c r="U1" t="s">
        <v>128</v>
      </c>
      <c r="V1" t="s">
        <v>129</v>
      </c>
      <c r="W1" t="s">
        <v>163</v>
      </c>
      <c r="X1" t="s">
        <v>164</v>
      </c>
      <c r="Y1" t="s">
        <v>47</v>
      </c>
      <c r="Z1" t="s">
        <v>48</v>
      </c>
      <c r="AA1" t="s">
        <v>130</v>
      </c>
      <c r="AB1" t="s">
        <v>131</v>
      </c>
      <c r="AC1" t="s">
        <v>165</v>
      </c>
      <c r="AD1" t="s">
        <v>166</v>
      </c>
      <c r="AE1" t="s">
        <v>422</v>
      </c>
      <c r="AF1" t="s">
        <v>423</v>
      </c>
      <c r="AG1" t="s">
        <v>88</v>
      </c>
      <c r="AH1" t="s">
        <v>89</v>
      </c>
      <c r="AI1" t="s">
        <v>240</v>
      </c>
      <c r="AJ1" t="s">
        <v>241</v>
      </c>
      <c r="AK1" t="s">
        <v>242</v>
      </c>
      <c r="AL1" t="s">
        <v>243</v>
      </c>
      <c r="AM1" t="s">
        <v>49</v>
      </c>
      <c r="AN1" t="s">
        <v>50</v>
      </c>
      <c r="AO1" t="s">
        <v>262</v>
      </c>
      <c r="AP1" t="s">
        <v>263</v>
      </c>
      <c r="AQ1" t="s">
        <v>299</v>
      </c>
      <c r="AR1" t="s">
        <v>300</v>
      </c>
      <c r="AS1" t="s">
        <v>171</v>
      </c>
      <c r="AT1" t="s">
        <v>244</v>
      </c>
      <c r="AU1" t="s">
        <v>270</v>
      </c>
      <c r="AV1" t="s">
        <v>51</v>
      </c>
      <c r="AW1" t="s">
        <v>52</v>
      </c>
      <c r="AX1" t="s">
        <v>53</v>
      </c>
      <c r="AY1" t="s">
        <v>117</v>
      </c>
      <c r="AZ1" t="s">
        <v>118</v>
      </c>
      <c r="BA1" t="s">
        <v>54</v>
      </c>
      <c r="BB1" t="s">
        <v>61</v>
      </c>
      <c r="BC1" t="s">
        <v>119</v>
      </c>
      <c r="BD1" t="s">
        <v>120</v>
      </c>
      <c r="BE1" t="s">
        <v>301</v>
      </c>
      <c r="BF1" t="s">
        <v>302</v>
      </c>
      <c r="BG1" t="s">
        <v>558</v>
      </c>
      <c r="BH1" t="s">
        <v>232</v>
      </c>
      <c r="BI1" t="s">
        <v>319</v>
      </c>
      <c r="BJ1" t="s">
        <v>400</v>
      </c>
      <c r="BK1" t="s">
        <v>401</v>
      </c>
      <c r="BL1" t="s">
        <v>62</v>
      </c>
      <c r="BM1" t="s">
        <v>11</v>
      </c>
      <c r="BN1" t="s">
        <v>36</v>
      </c>
      <c r="BO1" t="s">
        <v>37</v>
      </c>
      <c r="BP1" t="s">
        <v>39</v>
      </c>
      <c r="BQ1" t="s">
        <v>18</v>
      </c>
      <c r="BR1" t="s">
        <v>21</v>
      </c>
      <c r="BS1" t="s">
        <v>19</v>
      </c>
      <c r="BT1" t="s">
        <v>20</v>
      </c>
      <c r="BU1" t="s">
        <v>22</v>
      </c>
      <c r="BV1" t="s">
        <v>13</v>
      </c>
      <c r="BW1" t="s">
        <v>23</v>
      </c>
      <c r="BX1" t="s">
        <v>69</v>
      </c>
      <c r="BY1" t="s">
        <v>231</v>
      </c>
      <c r="BZ1" t="s">
        <v>24</v>
      </c>
      <c r="CA1" t="s">
        <v>25</v>
      </c>
      <c r="CB1" t="s">
        <v>14</v>
      </c>
      <c r="CC1" t="s">
        <v>40</v>
      </c>
    </row>
    <row r="2" spans="1:81" x14ac:dyDescent="0.25">
      <c r="A2">
        <v>631</v>
      </c>
      <c r="B2" s="2">
        <v>45202</v>
      </c>
      <c r="C2" t="s">
        <v>271</v>
      </c>
      <c r="D2">
        <v>8</v>
      </c>
      <c r="E2">
        <v>123.63</v>
      </c>
      <c r="F2">
        <v>989.04</v>
      </c>
      <c r="G2" t="s">
        <v>268</v>
      </c>
      <c r="H2" t="s">
        <v>28</v>
      </c>
      <c r="I2" t="s">
        <v>45</v>
      </c>
      <c r="J2">
        <v>313.83999999999992</v>
      </c>
      <c r="BM2" t="s">
        <v>18</v>
      </c>
      <c r="BN2" t="s">
        <v>181</v>
      </c>
      <c r="BO2" t="s">
        <v>182</v>
      </c>
      <c r="BP2">
        <v>84.4</v>
      </c>
      <c r="BQ2">
        <v>123.63</v>
      </c>
      <c r="BR2">
        <v>237.48</v>
      </c>
      <c r="BS2">
        <v>206.93</v>
      </c>
      <c r="BT2">
        <v>299.92</v>
      </c>
      <c r="BU2">
        <v>9.81</v>
      </c>
      <c r="BV2">
        <v>38.76</v>
      </c>
      <c r="BW2">
        <v>7.67</v>
      </c>
      <c r="BX2">
        <v>0</v>
      </c>
      <c r="BY2">
        <v>0</v>
      </c>
      <c r="BZ2">
        <v>8.7899999999999991</v>
      </c>
      <c r="CA2">
        <v>68.58</v>
      </c>
      <c r="CB2">
        <v>2.79</v>
      </c>
      <c r="CC2">
        <v>675.2</v>
      </c>
    </row>
    <row r="3" spans="1:81" x14ac:dyDescent="0.25">
      <c r="A3">
        <v>631</v>
      </c>
      <c r="B3" s="2">
        <v>45202</v>
      </c>
      <c r="C3" t="s">
        <v>272</v>
      </c>
      <c r="D3">
        <v>3.5</v>
      </c>
      <c r="E3">
        <v>206.93</v>
      </c>
      <c r="F3">
        <v>724.255</v>
      </c>
      <c r="G3" t="s">
        <v>268</v>
      </c>
      <c r="H3" t="s">
        <v>28</v>
      </c>
      <c r="I3" t="s">
        <v>45</v>
      </c>
      <c r="J3">
        <v>133.45500000000004</v>
      </c>
      <c r="BM3" t="s">
        <v>19</v>
      </c>
      <c r="BN3" t="s">
        <v>181</v>
      </c>
      <c r="BO3" t="s">
        <v>182</v>
      </c>
      <c r="BP3">
        <v>168.8</v>
      </c>
      <c r="BQ3">
        <v>123.63</v>
      </c>
      <c r="BR3">
        <v>237.48</v>
      </c>
      <c r="BS3">
        <v>206.93</v>
      </c>
      <c r="BT3">
        <v>299.92</v>
      </c>
      <c r="BU3">
        <v>9.81</v>
      </c>
      <c r="BV3">
        <v>38.76</v>
      </c>
      <c r="BW3">
        <v>7.67</v>
      </c>
      <c r="BX3">
        <v>0</v>
      </c>
      <c r="BY3">
        <v>0</v>
      </c>
      <c r="BZ3">
        <v>8.7899999999999991</v>
      </c>
      <c r="CA3">
        <v>68.58</v>
      </c>
      <c r="CB3">
        <v>2.79</v>
      </c>
      <c r="CC3">
        <v>590.79999999999995</v>
      </c>
    </row>
    <row r="4" spans="1:81" x14ac:dyDescent="0.25">
      <c r="A4">
        <v>631</v>
      </c>
      <c r="B4" s="2">
        <v>45203</v>
      </c>
      <c r="C4" t="s">
        <v>271</v>
      </c>
      <c r="D4">
        <v>8</v>
      </c>
      <c r="E4">
        <v>123.63</v>
      </c>
      <c r="F4">
        <v>989.04</v>
      </c>
      <c r="G4" t="s">
        <v>268</v>
      </c>
      <c r="H4" t="s">
        <v>28</v>
      </c>
      <c r="I4" t="s">
        <v>45</v>
      </c>
      <c r="J4">
        <v>313.83999999999992</v>
      </c>
      <c r="BM4" t="s">
        <v>18</v>
      </c>
      <c r="BN4" t="s">
        <v>181</v>
      </c>
      <c r="BO4" t="s">
        <v>182</v>
      </c>
      <c r="BP4">
        <v>84.4</v>
      </c>
      <c r="BQ4">
        <v>123.63</v>
      </c>
      <c r="BR4">
        <v>237.48</v>
      </c>
      <c r="BS4">
        <v>206.93</v>
      </c>
      <c r="BT4">
        <v>299.92</v>
      </c>
      <c r="BU4">
        <v>9.81</v>
      </c>
      <c r="BV4">
        <v>38.76</v>
      </c>
      <c r="BW4">
        <v>7.67</v>
      </c>
      <c r="BX4">
        <v>0</v>
      </c>
      <c r="BY4">
        <v>0</v>
      </c>
      <c r="BZ4">
        <v>8.7899999999999991</v>
      </c>
      <c r="CA4">
        <v>68.58</v>
      </c>
      <c r="CB4">
        <v>2.79</v>
      </c>
      <c r="CC4">
        <v>675.2</v>
      </c>
    </row>
    <row r="5" spans="1:81" x14ac:dyDescent="0.25">
      <c r="A5">
        <v>631</v>
      </c>
      <c r="B5" s="2">
        <v>45203</v>
      </c>
      <c r="C5" t="s">
        <v>272</v>
      </c>
      <c r="D5">
        <v>2.5</v>
      </c>
      <c r="E5">
        <v>206.93</v>
      </c>
      <c r="F5">
        <v>517.32500000000005</v>
      </c>
      <c r="G5" t="s">
        <v>268</v>
      </c>
      <c r="H5" t="s">
        <v>28</v>
      </c>
      <c r="I5" t="s">
        <v>45</v>
      </c>
      <c r="J5">
        <v>95.325000000000045</v>
      </c>
      <c r="BM5" t="s">
        <v>19</v>
      </c>
      <c r="BN5" t="s">
        <v>181</v>
      </c>
      <c r="BO5" t="s">
        <v>182</v>
      </c>
      <c r="BP5">
        <v>168.8</v>
      </c>
      <c r="BQ5">
        <v>123.63</v>
      </c>
      <c r="BR5">
        <v>237.48</v>
      </c>
      <c r="BS5">
        <v>206.93</v>
      </c>
      <c r="BT5">
        <v>299.92</v>
      </c>
      <c r="BU5">
        <v>9.81</v>
      </c>
      <c r="BV5">
        <v>38.76</v>
      </c>
      <c r="BW5">
        <v>7.67</v>
      </c>
      <c r="BX5">
        <v>0</v>
      </c>
      <c r="BY5">
        <v>0</v>
      </c>
      <c r="BZ5">
        <v>8.7899999999999991</v>
      </c>
      <c r="CA5">
        <v>68.58</v>
      </c>
      <c r="CB5">
        <v>2.79</v>
      </c>
      <c r="CC5">
        <v>422</v>
      </c>
    </row>
    <row r="6" spans="1:81" x14ac:dyDescent="0.25">
      <c r="A6">
        <v>631</v>
      </c>
      <c r="B6" s="2">
        <v>45204</v>
      </c>
      <c r="C6" t="s">
        <v>271</v>
      </c>
      <c r="D6">
        <v>8</v>
      </c>
      <c r="E6">
        <v>123.63</v>
      </c>
      <c r="F6">
        <v>989.04</v>
      </c>
      <c r="G6" t="s">
        <v>268</v>
      </c>
      <c r="H6" t="s">
        <v>28</v>
      </c>
      <c r="I6" t="s">
        <v>45</v>
      </c>
      <c r="J6">
        <v>313.83999999999992</v>
      </c>
      <c r="BM6" t="s">
        <v>18</v>
      </c>
      <c r="BN6" t="s">
        <v>181</v>
      </c>
      <c r="BO6" t="s">
        <v>182</v>
      </c>
      <c r="BP6">
        <v>84.4</v>
      </c>
      <c r="BQ6">
        <v>123.63</v>
      </c>
      <c r="BR6">
        <v>237.48</v>
      </c>
      <c r="BS6">
        <v>206.93</v>
      </c>
      <c r="BT6">
        <v>299.92</v>
      </c>
      <c r="BU6">
        <v>9.81</v>
      </c>
      <c r="BV6">
        <v>38.76</v>
      </c>
      <c r="BW6">
        <v>7.67</v>
      </c>
      <c r="BX6">
        <v>0</v>
      </c>
      <c r="BY6">
        <v>0</v>
      </c>
      <c r="BZ6">
        <v>8.7899999999999991</v>
      </c>
      <c r="CA6">
        <v>68.58</v>
      </c>
      <c r="CB6">
        <v>2.79</v>
      </c>
      <c r="CC6">
        <v>675.2</v>
      </c>
    </row>
    <row r="7" spans="1:81" x14ac:dyDescent="0.25">
      <c r="A7">
        <v>631</v>
      </c>
      <c r="B7" s="2">
        <v>45204</v>
      </c>
      <c r="C7" t="s">
        <v>272</v>
      </c>
      <c r="D7">
        <v>1.5</v>
      </c>
      <c r="E7">
        <v>206.93</v>
      </c>
      <c r="F7">
        <v>310.39499999999998</v>
      </c>
      <c r="G7" t="s">
        <v>268</v>
      </c>
      <c r="H7" t="s">
        <v>28</v>
      </c>
      <c r="I7" t="s">
        <v>45</v>
      </c>
      <c r="J7">
        <v>57.194999999999993</v>
      </c>
      <c r="BM7" t="s">
        <v>19</v>
      </c>
      <c r="BN7" t="s">
        <v>181</v>
      </c>
      <c r="BO7" t="s">
        <v>182</v>
      </c>
      <c r="BP7">
        <v>168.8</v>
      </c>
      <c r="BQ7">
        <v>123.63</v>
      </c>
      <c r="BR7">
        <v>237.48</v>
      </c>
      <c r="BS7">
        <v>206.93</v>
      </c>
      <c r="BT7">
        <v>299.92</v>
      </c>
      <c r="BU7">
        <v>9.81</v>
      </c>
      <c r="BV7">
        <v>38.76</v>
      </c>
      <c r="BW7">
        <v>7.67</v>
      </c>
      <c r="BX7">
        <v>0</v>
      </c>
      <c r="BY7">
        <v>0</v>
      </c>
      <c r="BZ7">
        <v>8.7899999999999991</v>
      </c>
      <c r="CA7">
        <v>68.58</v>
      </c>
      <c r="CB7">
        <v>2.79</v>
      </c>
      <c r="CC7">
        <v>253.2</v>
      </c>
    </row>
    <row r="8" spans="1:81" x14ac:dyDescent="0.25">
      <c r="A8">
        <v>631</v>
      </c>
      <c r="B8" s="2">
        <v>45205</v>
      </c>
      <c r="C8" t="s">
        <v>271</v>
      </c>
      <c r="D8">
        <v>8</v>
      </c>
      <c r="E8">
        <v>123.63</v>
      </c>
      <c r="F8">
        <v>989.04</v>
      </c>
      <c r="G8" t="s">
        <v>268</v>
      </c>
      <c r="H8" t="s">
        <v>28</v>
      </c>
      <c r="I8" t="s">
        <v>45</v>
      </c>
      <c r="J8">
        <v>313.83999999999992</v>
      </c>
      <c r="BM8" t="s">
        <v>18</v>
      </c>
      <c r="BN8" t="s">
        <v>181</v>
      </c>
      <c r="BO8" t="s">
        <v>182</v>
      </c>
      <c r="BP8">
        <v>84.4</v>
      </c>
      <c r="BQ8">
        <v>123.63</v>
      </c>
      <c r="BR8">
        <v>237.48</v>
      </c>
      <c r="BS8">
        <v>206.93</v>
      </c>
      <c r="BT8">
        <v>299.92</v>
      </c>
      <c r="BU8">
        <v>9.81</v>
      </c>
      <c r="BV8">
        <v>38.76</v>
      </c>
      <c r="BW8">
        <v>7.67</v>
      </c>
      <c r="BX8">
        <v>0</v>
      </c>
      <c r="BY8">
        <v>0</v>
      </c>
      <c r="BZ8">
        <v>8.7899999999999991</v>
      </c>
      <c r="CA8">
        <v>68.58</v>
      </c>
      <c r="CB8">
        <v>2.79</v>
      </c>
      <c r="CC8">
        <v>675.2</v>
      </c>
    </row>
    <row r="9" spans="1:81" x14ac:dyDescent="0.25">
      <c r="A9">
        <v>631</v>
      </c>
      <c r="B9" s="2">
        <v>45205</v>
      </c>
      <c r="C9" t="s">
        <v>272</v>
      </c>
      <c r="D9">
        <v>1.5</v>
      </c>
      <c r="E9">
        <v>206.93</v>
      </c>
      <c r="F9">
        <v>310.39499999999998</v>
      </c>
      <c r="G9" t="s">
        <v>268</v>
      </c>
      <c r="H9" t="s">
        <v>28</v>
      </c>
      <c r="I9" t="s">
        <v>45</v>
      </c>
      <c r="J9">
        <v>57.194999999999993</v>
      </c>
      <c r="BM9" t="s">
        <v>19</v>
      </c>
      <c r="BN9" t="s">
        <v>181</v>
      </c>
      <c r="BO9" t="s">
        <v>182</v>
      </c>
      <c r="BP9">
        <v>168.8</v>
      </c>
      <c r="BQ9">
        <v>123.63</v>
      </c>
      <c r="BR9">
        <v>237.48</v>
      </c>
      <c r="BS9">
        <v>206.93</v>
      </c>
      <c r="BT9">
        <v>299.92</v>
      </c>
      <c r="BU9">
        <v>9.81</v>
      </c>
      <c r="BV9">
        <v>38.76</v>
      </c>
      <c r="BW9">
        <v>7.67</v>
      </c>
      <c r="BX9">
        <v>0</v>
      </c>
      <c r="BY9">
        <v>0</v>
      </c>
      <c r="BZ9">
        <v>8.7899999999999991</v>
      </c>
      <c r="CA9">
        <v>68.58</v>
      </c>
      <c r="CB9">
        <v>2.79</v>
      </c>
      <c r="CC9">
        <v>253.2</v>
      </c>
    </row>
    <row r="10" spans="1:81" x14ac:dyDescent="0.25">
      <c r="A10">
        <v>631</v>
      </c>
      <c r="B10" s="2">
        <v>45207</v>
      </c>
      <c r="C10" t="s">
        <v>316</v>
      </c>
      <c r="D10">
        <v>4</v>
      </c>
      <c r="E10">
        <v>38.76</v>
      </c>
      <c r="F10">
        <v>155.04</v>
      </c>
      <c r="G10" t="s">
        <v>268</v>
      </c>
      <c r="H10" t="s">
        <v>28</v>
      </c>
      <c r="I10" t="s">
        <v>45</v>
      </c>
      <c r="J10">
        <v>10.679999999999978</v>
      </c>
      <c r="K10" t="s">
        <v>135</v>
      </c>
      <c r="L10" t="s">
        <v>326</v>
      </c>
      <c r="M10" t="s">
        <v>428</v>
      </c>
      <c r="N10" t="s">
        <v>429</v>
      </c>
      <c r="O10" t="s">
        <v>60</v>
      </c>
      <c r="P10" t="s">
        <v>60</v>
      </c>
      <c r="Q10" t="s">
        <v>60</v>
      </c>
      <c r="R10" t="s">
        <v>60</v>
      </c>
      <c r="S10" t="s">
        <v>90</v>
      </c>
      <c r="T10" t="s">
        <v>327</v>
      </c>
      <c r="U10" t="s">
        <v>233</v>
      </c>
      <c r="V10" t="s">
        <v>328</v>
      </c>
      <c r="W10" t="s">
        <v>60</v>
      </c>
      <c r="X10" t="s">
        <v>60</v>
      </c>
      <c r="Y10" t="s">
        <v>55</v>
      </c>
      <c r="Z10" t="s">
        <v>56</v>
      </c>
      <c r="AA10" t="s">
        <v>60</v>
      </c>
      <c r="AB10" t="s">
        <v>60</v>
      </c>
      <c r="AC10" t="s">
        <v>60</v>
      </c>
      <c r="AD10" t="s">
        <v>60</v>
      </c>
      <c r="AE10" t="s">
        <v>60</v>
      </c>
      <c r="AF10" t="s">
        <v>60</v>
      </c>
      <c r="AG10" t="s">
        <v>428</v>
      </c>
      <c r="AH10" t="s">
        <v>430</v>
      </c>
      <c r="AI10">
        <v>4</v>
      </c>
      <c r="AJ10">
        <v>144.36000000000001</v>
      </c>
      <c r="AK10" t="s">
        <v>431</v>
      </c>
      <c r="AL10" t="s">
        <v>432</v>
      </c>
      <c r="AM10" t="s">
        <v>57</v>
      </c>
      <c r="AN10" t="s">
        <v>58</v>
      </c>
      <c r="AO10" t="s">
        <v>60</v>
      </c>
      <c r="AP10" t="s">
        <v>60</v>
      </c>
      <c r="AQ10">
        <v>0</v>
      </c>
      <c r="AR10">
        <v>0</v>
      </c>
      <c r="AS10" t="s">
        <v>60</v>
      </c>
      <c r="AT10" t="s">
        <v>60</v>
      </c>
      <c r="AU10" t="s">
        <v>471</v>
      </c>
      <c r="AV10" t="s">
        <v>59</v>
      </c>
      <c r="AW10" t="s">
        <v>472</v>
      </c>
      <c r="AX10" t="s">
        <v>472</v>
      </c>
      <c r="AY10" t="s">
        <v>474</v>
      </c>
      <c r="AZ10" t="s">
        <v>475</v>
      </c>
      <c r="BA10" t="s">
        <v>473</v>
      </c>
      <c r="BB10" t="s">
        <v>476</v>
      </c>
      <c r="BL10" t="s">
        <v>477</v>
      </c>
      <c r="BM10" t="s">
        <v>13</v>
      </c>
      <c r="BN10" t="s">
        <v>266</v>
      </c>
      <c r="BO10" t="s">
        <v>182</v>
      </c>
      <c r="BP10">
        <v>36.090000000000003</v>
      </c>
      <c r="BQ10">
        <v>123.63</v>
      </c>
      <c r="BR10">
        <v>237.48</v>
      </c>
      <c r="BS10">
        <v>206.93</v>
      </c>
      <c r="BT10">
        <v>299.92</v>
      </c>
      <c r="BU10">
        <v>9.81</v>
      </c>
      <c r="BV10">
        <v>38.76</v>
      </c>
      <c r="BW10">
        <v>7.67</v>
      </c>
      <c r="BX10">
        <v>0</v>
      </c>
      <c r="BY10">
        <v>0</v>
      </c>
      <c r="BZ10">
        <v>8.7899999999999991</v>
      </c>
      <c r="CA10">
        <v>68.58</v>
      </c>
      <c r="CB10">
        <v>2.79</v>
      </c>
      <c r="CC10">
        <v>144.36000000000001</v>
      </c>
    </row>
    <row r="11" spans="1:81" x14ac:dyDescent="0.25">
      <c r="A11">
        <v>631</v>
      </c>
      <c r="B11" s="2">
        <v>45207</v>
      </c>
      <c r="C11" t="s">
        <v>273</v>
      </c>
      <c r="D11">
        <v>9</v>
      </c>
      <c r="E11">
        <v>2.79</v>
      </c>
      <c r="F11">
        <v>25.11</v>
      </c>
      <c r="G11" t="s">
        <v>268</v>
      </c>
      <c r="H11" t="s">
        <v>28</v>
      </c>
      <c r="I11" t="s">
        <v>45</v>
      </c>
      <c r="J11">
        <v>2.7899999999999991</v>
      </c>
      <c r="K11" t="s">
        <v>135</v>
      </c>
      <c r="L11" t="s">
        <v>326</v>
      </c>
      <c r="M11" t="s">
        <v>428</v>
      </c>
      <c r="N11" t="s">
        <v>429</v>
      </c>
      <c r="O11" t="s">
        <v>60</v>
      </c>
      <c r="P11" t="s">
        <v>60</v>
      </c>
      <c r="Q11" t="s">
        <v>60</v>
      </c>
      <c r="R11" t="s">
        <v>60</v>
      </c>
      <c r="S11" t="s">
        <v>90</v>
      </c>
      <c r="T11" t="s">
        <v>327</v>
      </c>
      <c r="U11" t="s">
        <v>233</v>
      </c>
      <c r="V11" t="s">
        <v>328</v>
      </c>
      <c r="W11" t="s">
        <v>60</v>
      </c>
      <c r="X11" t="s">
        <v>60</v>
      </c>
      <c r="Y11" t="s">
        <v>55</v>
      </c>
      <c r="Z11" t="s">
        <v>56</v>
      </c>
      <c r="AA11" t="s">
        <v>60</v>
      </c>
      <c r="AB11" t="s">
        <v>60</v>
      </c>
      <c r="AC11" t="s">
        <v>60</v>
      </c>
      <c r="AD11" t="s">
        <v>60</v>
      </c>
      <c r="AE11" t="s">
        <v>60</v>
      </c>
      <c r="AF11" t="s">
        <v>60</v>
      </c>
      <c r="AI11" t="s">
        <v>133</v>
      </c>
      <c r="AJ11" t="s">
        <v>331</v>
      </c>
      <c r="AK11" t="s">
        <v>431</v>
      </c>
      <c r="AL11" t="s">
        <v>432</v>
      </c>
      <c r="AM11" t="s">
        <v>57</v>
      </c>
      <c r="AN11" t="s">
        <v>58</v>
      </c>
      <c r="AO11" t="s">
        <v>60</v>
      </c>
      <c r="AP11" t="s">
        <v>60</v>
      </c>
      <c r="AQ11" t="s">
        <v>60</v>
      </c>
      <c r="AR11" t="s">
        <v>60</v>
      </c>
      <c r="AV11" t="s">
        <v>59</v>
      </c>
      <c r="BB11" t="s">
        <v>476</v>
      </c>
      <c r="BL11" t="s">
        <v>477</v>
      </c>
      <c r="BM11" t="s">
        <v>14</v>
      </c>
      <c r="BN11" t="s">
        <v>266</v>
      </c>
      <c r="BO11" t="s">
        <v>182</v>
      </c>
      <c r="BP11">
        <v>2.48</v>
      </c>
      <c r="BQ11">
        <v>123.63</v>
      </c>
      <c r="BR11">
        <v>237.48</v>
      </c>
      <c r="BS11">
        <v>206.93</v>
      </c>
      <c r="BT11">
        <v>299.92</v>
      </c>
      <c r="BU11">
        <v>9.81</v>
      </c>
      <c r="BV11">
        <v>38.76</v>
      </c>
      <c r="BW11">
        <v>7.67</v>
      </c>
      <c r="BX11">
        <v>0</v>
      </c>
      <c r="BY11">
        <v>0</v>
      </c>
      <c r="BZ11">
        <v>8.7899999999999991</v>
      </c>
      <c r="CA11">
        <v>68.58</v>
      </c>
      <c r="CB11">
        <v>2.79</v>
      </c>
      <c r="CC11">
        <v>22.32</v>
      </c>
    </row>
    <row r="12" spans="1:81" x14ac:dyDescent="0.25">
      <c r="A12">
        <v>631</v>
      </c>
      <c r="B12" s="2">
        <v>45207</v>
      </c>
      <c r="C12" t="s">
        <v>274</v>
      </c>
      <c r="D12">
        <v>41</v>
      </c>
      <c r="E12">
        <v>9.81</v>
      </c>
      <c r="F12">
        <v>402.21000000000004</v>
      </c>
      <c r="G12" t="s">
        <v>268</v>
      </c>
      <c r="H12" t="s">
        <v>28</v>
      </c>
      <c r="I12" t="s">
        <v>45</v>
      </c>
      <c r="J12">
        <v>86.510000000000048</v>
      </c>
      <c r="K12" t="s">
        <v>135</v>
      </c>
      <c r="L12" t="s">
        <v>326</v>
      </c>
      <c r="M12" t="s">
        <v>428</v>
      </c>
      <c r="N12" t="s">
        <v>429</v>
      </c>
      <c r="O12" t="s">
        <v>60</v>
      </c>
      <c r="P12" t="s">
        <v>60</v>
      </c>
      <c r="Q12" t="s">
        <v>60</v>
      </c>
      <c r="R12" t="s">
        <v>60</v>
      </c>
      <c r="S12" t="s">
        <v>90</v>
      </c>
      <c r="T12" t="s">
        <v>327</v>
      </c>
      <c r="U12" t="s">
        <v>233</v>
      </c>
      <c r="V12" t="s">
        <v>328</v>
      </c>
      <c r="W12" t="s">
        <v>60</v>
      </c>
      <c r="X12" t="s">
        <v>60</v>
      </c>
      <c r="Y12" t="s">
        <v>55</v>
      </c>
      <c r="Z12" t="s">
        <v>56</v>
      </c>
      <c r="AA12" t="s">
        <v>60</v>
      </c>
      <c r="AB12" t="s">
        <v>60</v>
      </c>
      <c r="AC12" t="s">
        <v>60</v>
      </c>
      <c r="AD12" t="s">
        <v>60</v>
      </c>
      <c r="AE12" t="s">
        <v>60</v>
      </c>
      <c r="AF12" t="s">
        <v>60</v>
      </c>
      <c r="AG12" t="s">
        <v>428</v>
      </c>
      <c r="AH12" t="s">
        <v>430</v>
      </c>
      <c r="AI12" t="s">
        <v>133</v>
      </c>
      <c r="AJ12" t="s">
        <v>331</v>
      </c>
      <c r="AK12" t="s">
        <v>431</v>
      </c>
      <c r="AL12" t="s">
        <v>432</v>
      </c>
      <c r="AM12" t="s">
        <v>57</v>
      </c>
      <c r="AN12" t="s">
        <v>58</v>
      </c>
      <c r="AV12" t="s">
        <v>59</v>
      </c>
      <c r="BM12" t="s">
        <v>22</v>
      </c>
      <c r="BN12" t="s">
        <v>266</v>
      </c>
      <c r="BO12" t="s">
        <v>182</v>
      </c>
      <c r="BP12">
        <v>7.6999999999999993</v>
      </c>
      <c r="BQ12">
        <v>123.63</v>
      </c>
      <c r="BR12">
        <v>237.48</v>
      </c>
      <c r="BS12">
        <v>206.93</v>
      </c>
      <c r="BT12">
        <v>299.92</v>
      </c>
      <c r="BU12">
        <v>9.81</v>
      </c>
      <c r="BV12">
        <v>38.76</v>
      </c>
      <c r="BW12">
        <v>7.67</v>
      </c>
      <c r="BX12">
        <v>0</v>
      </c>
      <c r="BY12">
        <v>0</v>
      </c>
      <c r="BZ12">
        <v>8.7899999999999991</v>
      </c>
      <c r="CA12">
        <v>68.58</v>
      </c>
      <c r="CB12">
        <v>2.79</v>
      </c>
      <c r="CC12">
        <v>315.7</v>
      </c>
    </row>
    <row r="13" spans="1:81" x14ac:dyDescent="0.25">
      <c r="A13">
        <v>631</v>
      </c>
      <c r="B13" s="2">
        <v>45207</v>
      </c>
      <c r="C13" t="s">
        <v>275</v>
      </c>
      <c r="D13">
        <v>5</v>
      </c>
      <c r="E13">
        <v>68.58</v>
      </c>
      <c r="F13">
        <v>342.9</v>
      </c>
      <c r="G13" t="s">
        <v>268</v>
      </c>
      <c r="H13" t="s">
        <v>28</v>
      </c>
      <c r="I13" t="s">
        <v>45</v>
      </c>
      <c r="J13">
        <v>67.899999999999977</v>
      </c>
      <c r="K13" t="s">
        <v>135</v>
      </c>
      <c r="L13" t="s">
        <v>326</v>
      </c>
      <c r="M13" t="s">
        <v>428</v>
      </c>
      <c r="N13" t="s">
        <v>429</v>
      </c>
      <c r="O13" t="s">
        <v>60</v>
      </c>
      <c r="P13" t="s">
        <v>60</v>
      </c>
      <c r="Q13" t="s">
        <v>60</v>
      </c>
      <c r="R13" t="s">
        <v>60</v>
      </c>
      <c r="S13" t="s">
        <v>90</v>
      </c>
      <c r="T13" t="s">
        <v>327</v>
      </c>
      <c r="U13" t="s">
        <v>233</v>
      </c>
      <c r="V13" t="s">
        <v>328</v>
      </c>
      <c r="W13" t="s">
        <v>60</v>
      </c>
      <c r="X13" t="s">
        <v>60</v>
      </c>
      <c r="Y13" t="s">
        <v>55</v>
      </c>
      <c r="Z13" t="s">
        <v>56</v>
      </c>
      <c r="AA13" t="s">
        <v>60</v>
      </c>
      <c r="AB13" t="s">
        <v>60</v>
      </c>
      <c r="AC13" t="s">
        <v>60</v>
      </c>
      <c r="AD13" t="s">
        <v>60</v>
      </c>
      <c r="AE13" t="s">
        <v>60</v>
      </c>
      <c r="AF13" t="s">
        <v>60</v>
      </c>
      <c r="AG13" t="s">
        <v>428</v>
      </c>
      <c r="AH13" t="s">
        <v>430</v>
      </c>
      <c r="AI13" t="s">
        <v>133</v>
      </c>
      <c r="AJ13" t="s">
        <v>331</v>
      </c>
      <c r="AK13">
        <v>5</v>
      </c>
      <c r="AL13">
        <v>275</v>
      </c>
      <c r="AM13" t="s">
        <v>57</v>
      </c>
      <c r="AN13" t="s">
        <v>58</v>
      </c>
      <c r="AO13">
        <v>0</v>
      </c>
      <c r="AP13">
        <v>0</v>
      </c>
      <c r="AQ13" t="s">
        <v>60</v>
      </c>
      <c r="AR13" t="s">
        <v>60</v>
      </c>
      <c r="AS13" t="s">
        <v>60</v>
      </c>
      <c r="AT13" t="s">
        <v>60</v>
      </c>
      <c r="AU13" t="s">
        <v>471</v>
      </c>
      <c r="AV13" t="s">
        <v>59</v>
      </c>
      <c r="AW13" t="s">
        <v>472</v>
      </c>
      <c r="AX13" t="s">
        <v>472</v>
      </c>
      <c r="AY13" t="s">
        <v>474</v>
      </c>
      <c r="AZ13" t="s">
        <v>475</v>
      </c>
      <c r="BA13" t="s">
        <v>473</v>
      </c>
      <c r="BB13" t="s">
        <v>476</v>
      </c>
      <c r="BC13" t="s">
        <v>121</v>
      </c>
      <c r="BD13" t="s">
        <v>560</v>
      </c>
      <c r="BE13" t="s">
        <v>60</v>
      </c>
      <c r="BF13" t="s">
        <v>60</v>
      </c>
      <c r="BG13" t="s">
        <v>60</v>
      </c>
      <c r="BH13" t="s">
        <v>60</v>
      </c>
      <c r="BI13" t="s">
        <v>60</v>
      </c>
      <c r="BJ13" t="s">
        <v>60</v>
      </c>
      <c r="BK13" t="s">
        <v>60</v>
      </c>
      <c r="BL13" t="s">
        <v>477</v>
      </c>
      <c r="BM13" t="s">
        <v>25</v>
      </c>
      <c r="BN13" t="s">
        <v>266</v>
      </c>
      <c r="BO13" t="s">
        <v>182</v>
      </c>
      <c r="BP13">
        <v>55</v>
      </c>
      <c r="BQ13">
        <v>123.63</v>
      </c>
      <c r="BR13">
        <v>237.48</v>
      </c>
      <c r="BS13">
        <v>206.93</v>
      </c>
      <c r="BT13">
        <v>299.92</v>
      </c>
      <c r="BU13">
        <v>9.81</v>
      </c>
      <c r="BV13">
        <v>38.76</v>
      </c>
      <c r="BW13">
        <v>7.67</v>
      </c>
      <c r="BX13">
        <v>0</v>
      </c>
      <c r="BY13">
        <v>0</v>
      </c>
      <c r="BZ13">
        <v>8.7899999999999991</v>
      </c>
      <c r="CA13">
        <v>68.58</v>
      </c>
      <c r="CB13">
        <v>2.79</v>
      </c>
      <c r="CC13">
        <v>275</v>
      </c>
    </row>
    <row r="14" spans="1:81" x14ac:dyDescent="0.25">
      <c r="A14">
        <v>772</v>
      </c>
      <c r="B14" s="2">
        <v>45202</v>
      </c>
      <c r="C14" t="s">
        <v>336</v>
      </c>
      <c r="D14">
        <v>8</v>
      </c>
      <c r="E14">
        <v>123.63</v>
      </c>
      <c r="F14">
        <v>989.04</v>
      </c>
      <c r="G14" t="s">
        <v>268</v>
      </c>
      <c r="H14" t="s">
        <v>28</v>
      </c>
      <c r="I14" t="s">
        <v>45</v>
      </c>
      <c r="J14">
        <v>313.83999999999992</v>
      </c>
      <c r="BM14" t="s">
        <v>18</v>
      </c>
      <c r="BN14" t="s">
        <v>173</v>
      </c>
      <c r="BO14" t="s">
        <v>174</v>
      </c>
      <c r="BP14">
        <v>84.4</v>
      </c>
      <c r="BQ14">
        <v>123.63</v>
      </c>
      <c r="BR14">
        <v>237.48</v>
      </c>
      <c r="BS14">
        <v>206.93</v>
      </c>
      <c r="BT14">
        <v>299.92</v>
      </c>
      <c r="BU14">
        <v>9.81</v>
      </c>
      <c r="BV14">
        <v>38.76</v>
      </c>
      <c r="BW14">
        <v>7.67</v>
      </c>
      <c r="BX14">
        <v>0</v>
      </c>
      <c r="BY14">
        <v>0</v>
      </c>
      <c r="BZ14">
        <v>8.7899999999999991</v>
      </c>
      <c r="CA14">
        <v>68.58</v>
      </c>
      <c r="CB14">
        <v>2.79</v>
      </c>
      <c r="CC14">
        <v>675.2</v>
      </c>
    </row>
    <row r="15" spans="1:81" x14ac:dyDescent="0.25">
      <c r="A15">
        <v>772</v>
      </c>
      <c r="B15" s="2">
        <v>45202</v>
      </c>
      <c r="C15" t="s">
        <v>337</v>
      </c>
      <c r="D15">
        <v>3</v>
      </c>
      <c r="E15">
        <v>206.93</v>
      </c>
      <c r="F15">
        <v>620.79</v>
      </c>
      <c r="G15" t="s">
        <v>268</v>
      </c>
      <c r="H15" t="s">
        <v>28</v>
      </c>
      <c r="I15" t="s">
        <v>45</v>
      </c>
      <c r="J15">
        <v>114.38999999999999</v>
      </c>
      <c r="BM15" t="s">
        <v>19</v>
      </c>
      <c r="BN15" t="s">
        <v>173</v>
      </c>
      <c r="BO15" t="s">
        <v>174</v>
      </c>
      <c r="BP15">
        <v>168.8</v>
      </c>
      <c r="BQ15">
        <v>123.63</v>
      </c>
      <c r="BR15">
        <v>237.48</v>
      </c>
      <c r="BS15">
        <v>206.93</v>
      </c>
      <c r="BT15">
        <v>299.92</v>
      </c>
      <c r="BU15">
        <v>9.81</v>
      </c>
      <c r="BV15">
        <v>38.76</v>
      </c>
      <c r="BW15">
        <v>7.67</v>
      </c>
      <c r="BX15">
        <v>0</v>
      </c>
      <c r="BY15">
        <v>0</v>
      </c>
      <c r="BZ15">
        <v>8.7899999999999991</v>
      </c>
      <c r="CA15">
        <v>68.58</v>
      </c>
      <c r="CB15">
        <v>2.79</v>
      </c>
      <c r="CC15">
        <v>506.4</v>
      </c>
    </row>
    <row r="16" spans="1:81" x14ac:dyDescent="0.25">
      <c r="A16">
        <v>772</v>
      </c>
      <c r="B16" s="2">
        <v>45203</v>
      </c>
      <c r="C16" t="s">
        <v>336</v>
      </c>
      <c r="D16">
        <v>8</v>
      </c>
      <c r="E16">
        <v>123.63</v>
      </c>
      <c r="F16">
        <v>989.04</v>
      </c>
      <c r="G16" t="s">
        <v>268</v>
      </c>
      <c r="H16" t="s">
        <v>28</v>
      </c>
      <c r="I16" t="s">
        <v>45</v>
      </c>
      <c r="J16">
        <v>313.83999999999992</v>
      </c>
      <c r="BM16" t="s">
        <v>18</v>
      </c>
      <c r="BN16" t="s">
        <v>173</v>
      </c>
      <c r="BO16" t="s">
        <v>174</v>
      </c>
      <c r="BP16">
        <v>84.4</v>
      </c>
      <c r="BQ16">
        <v>123.63</v>
      </c>
      <c r="BR16">
        <v>237.48</v>
      </c>
      <c r="BS16">
        <v>206.93</v>
      </c>
      <c r="BT16">
        <v>299.92</v>
      </c>
      <c r="BU16">
        <v>9.81</v>
      </c>
      <c r="BV16">
        <v>38.76</v>
      </c>
      <c r="BW16">
        <v>7.67</v>
      </c>
      <c r="BX16">
        <v>0</v>
      </c>
      <c r="BY16">
        <v>0</v>
      </c>
      <c r="BZ16">
        <v>8.7899999999999991</v>
      </c>
      <c r="CA16">
        <v>68.58</v>
      </c>
      <c r="CB16">
        <v>2.79</v>
      </c>
      <c r="CC16">
        <v>675.2</v>
      </c>
    </row>
    <row r="17" spans="1:81" x14ac:dyDescent="0.25">
      <c r="A17">
        <v>772</v>
      </c>
      <c r="B17" s="2">
        <v>45203</v>
      </c>
      <c r="C17" t="s">
        <v>337</v>
      </c>
      <c r="D17">
        <v>3.5</v>
      </c>
      <c r="E17">
        <v>206.93</v>
      </c>
      <c r="F17">
        <v>724.255</v>
      </c>
      <c r="G17" t="s">
        <v>268</v>
      </c>
      <c r="H17" t="s">
        <v>28</v>
      </c>
      <c r="I17" t="s">
        <v>45</v>
      </c>
      <c r="J17">
        <v>133.45500000000004</v>
      </c>
      <c r="BM17" t="s">
        <v>19</v>
      </c>
      <c r="BN17" t="s">
        <v>173</v>
      </c>
      <c r="BO17" t="s">
        <v>174</v>
      </c>
      <c r="BP17">
        <v>168.8</v>
      </c>
      <c r="BQ17">
        <v>123.63</v>
      </c>
      <c r="BR17">
        <v>237.48</v>
      </c>
      <c r="BS17">
        <v>206.93</v>
      </c>
      <c r="BT17">
        <v>299.92</v>
      </c>
      <c r="BU17">
        <v>9.81</v>
      </c>
      <c r="BV17">
        <v>38.76</v>
      </c>
      <c r="BW17">
        <v>7.67</v>
      </c>
      <c r="BX17">
        <v>0</v>
      </c>
      <c r="BY17">
        <v>0</v>
      </c>
      <c r="BZ17">
        <v>8.7899999999999991</v>
      </c>
      <c r="CA17">
        <v>68.58</v>
      </c>
      <c r="CB17">
        <v>2.79</v>
      </c>
      <c r="CC17">
        <v>590.79999999999995</v>
      </c>
    </row>
    <row r="18" spans="1:81" x14ac:dyDescent="0.25">
      <c r="A18">
        <v>772</v>
      </c>
      <c r="B18" s="2">
        <v>45204</v>
      </c>
      <c r="C18" t="s">
        <v>336</v>
      </c>
      <c r="D18">
        <v>8</v>
      </c>
      <c r="E18">
        <v>123.63</v>
      </c>
      <c r="F18">
        <v>989.04</v>
      </c>
      <c r="G18" t="s">
        <v>268</v>
      </c>
      <c r="H18" t="s">
        <v>28</v>
      </c>
      <c r="I18" t="s">
        <v>45</v>
      </c>
      <c r="J18">
        <v>313.83999999999992</v>
      </c>
      <c r="BM18" t="s">
        <v>18</v>
      </c>
      <c r="BN18" t="s">
        <v>173</v>
      </c>
      <c r="BO18" t="s">
        <v>174</v>
      </c>
      <c r="BP18">
        <v>84.4</v>
      </c>
      <c r="BQ18">
        <v>123.63</v>
      </c>
      <c r="BR18">
        <v>237.48</v>
      </c>
      <c r="BS18">
        <v>206.93</v>
      </c>
      <c r="BT18">
        <v>299.92</v>
      </c>
      <c r="BU18">
        <v>9.81</v>
      </c>
      <c r="BV18">
        <v>38.76</v>
      </c>
      <c r="BW18">
        <v>7.67</v>
      </c>
      <c r="BX18">
        <v>0</v>
      </c>
      <c r="BY18">
        <v>0</v>
      </c>
      <c r="BZ18">
        <v>8.7899999999999991</v>
      </c>
      <c r="CA18">
        <v>68.58</v>
      </c>
      <c r="CB18">
        <v>2.79</v>
      </c>
      <c r="CC18">
        <v>675.2</v>
      </c>
    </row>
    <row r="19" spans="1:81" x14ac:dyDescent="0.25">
      <c r="A19">
        <v>772</v>
      </c>
      <c r="B19" s="2">
        <v>45204</v>
      </c>
      <c r="C19" t="s">
        <v>337</v>
      </c>
      <c r="D19">
        <v>2</v>
      </c>
      <c r="E19">
        <v>206.93</v>
      </c>
      <c r="F19">
        <v>413.86</v>
      </c>
      <c r="G19" t="s">
        <v>268</v>
      </c>
      <c r="H19" t="s">
        <v>28</v>
      </c>
      <c r="I19" t="s">
        <v>45</v>
      </c>
      <c r="J19">
        <v>76.259999999999991</v>
      </c>
      <c r="BM19" t="s">
        <v>19</v>
      </c>
      <c r="BN19" t="s">
        <v>173</v>
      </c>
      <c r="BO19" t="s">
        <v>174</v>
      </c>
      <c r="BP19">
        <v>168.8</v>
      </c>
      <c r="BQ19">
        <v>123.63</v>
      </c>
      <c r="BR19">
        <v>237.48</v>
      </c>
      <c r="BS19">
        <v>206.93</v>
      </c>
      <c r="BT19">
        <v>299.92</v>
      </c>
      <c r="BU19">
        <v>9.81</v>
      </c>
      <c r="BV19">
        <v>38.76</v>
      </c>
      <c r="BW19">
        <v>7.67</v>
      </c>
      <c r="BX19">
        <v>0</v>
      </c>
      <c r="BY19">
        <v>0</v>
      </c>
      <c r="BZ19">
        <v>8.7899999999999991</v>
      </c>
      <c r="CA19">
        <v>68.58</v>
      </c>
      <c r="CB19">
        <v>2.79</v>
      </c>
      <c r="CC19">
        <v>337.6</v>
      </c>
    </row>
    <row r="20" spans="1:81" x14ac:dyDescent="0.25">
      <c r="A20">
        <v>772</v>
      </c>
      <c r="B20" s="2">
        <v>45205</v>
      </c>
      <c r="C20" t="s">
        <v>336</v>
      </c>
      <c r="D20">
        <v>8</v>
      </c>
      <c r="E20">
        <v>123.63</v>
      </c>
      <c r="F20">
        <v>989.04</v>
      </c>
      <c r="G20" t="s">
        <v>268</v>
      </c>
      <c r="H20" t="s">
        <v>28</v>
      </c>
      <c r="I20" t="s">
        <v>45</v>
      </c>
      <c r="J20">
        <v>313.83999999999992</v>
      </c>
      <c r="BM20" t="s">
        <v>18</v>
      </c>
      <c r="BN20" t="s">
        <v>173</v>
      </c>
      <c r="BO20" t="s">
        <v>174</v>
      </c>
      <c r="BP20">
        <v>84.4</v>
      </c>
      <c r="BQ20">
        <v>123.63</v>
      </c>
      <c r="BR20">
        <v>237.48</v>
      </c>
      <c r="BS20">
        <v>206.93</v>
      </c>
      <c r="BT20">
        <v>299.92</v>
      </c>
      <c r="BU20">
        <v>9.81</v>
      </c>
      <c r="BV20">
        <v>38.76</v>
      </c>
      <c r="BW20">
        <v>7.67</v>
      </c>
      <c r="BX20">
        <v>0</v>
      </c>
      <c r="BY20">
        <v>0</v>
      </c>
      <c r="BZ20">
        <v>8.7899999999999991</v>
      </c>
      <c r="CA20">
        <v>68.58</v>
      </c>
      <c r="CB20">
        <v>2.79</v>
      </c>
      <c r="CC20">
        <v>675.2</v>
      </c>
    </row>
    <row r="21" spans="1:81" x14ac:dyDescent="0.25">
      <c r="A21">
        <v>772</v>
      </c>
      <c r="B21" s="2">
        <v>45205</v>
      </c>
      <c r="C21" t="s">
        <v>337</v>
      </c>
      <c r="D21">
        <v>2.5</v>
      </c>
      <c r="E21">
        <v>206.93</v>
      </c>
      <c r="F21">
        <v>517.32500000000005</v>
      </c>
      <c r="G21" t="s">
        <v>268</v>
      </c>
      <c r="H21" t="s">
        <v>28</v>
      </c>
      <c r="I21" t="s">
        <v>45</v>
      </c>
      <c r="J21">
        <v>95.325000000000045</v>
      </c>
      <c r="BM21" t="s">
        <v>19</v>
      </c>
      <c r="BN21" t="s">
        <v>173</v>
      </c>
      <c r="BO21" t="s">
        <v>174</v>
      </c>
      <c r="BP21">
        <v>168.8</v>
      </c>
      <c r="BQ21">
        <v>123.63</v>
      </c>
      <c r="BR21">
        <v>237.48</v>
      </c>
      <c r="BS21">
        <v>206.93</v>
      </c>
      <c r="BT21">
        <v>299.92</v>
      </c>
      <c r="BU21">
        <v>9.81</v>
      </c>
      <c r="BV21">
        <v>38.76</v>
      </c>
      <c r="BW21">
        <v>7.67</v>
      </c>
      <c r="BX21">
        <v>0</v>
      </c>
      <c r="BY21">
        <v>0</v>
      </c>
      <c r="BZ21">
        <v>8.7899999999999991</v>
      </c>
      <c r="CA21">
        <v>68.58</v>
      </c>
      <c r="CB21">
        <v>2.79</v>
      </c>
      <c r="CC21">
        <v>422</v>
      </c>
    </row>
    <row r="22" spans="1:81" x14ac:dyDescent="0.25">
      <c r="A22">
        <v>772</v>
      </c>
      <c r="B22" s="2">
        <v>45206</v>
      </c>
      <c r="C22" t="s">
        <v>337</v>
      </c>
      <c r="D22">
        <v>6.5</v>
      </c>
      <c r="E22">
        <v>206.93</v>
      </c>
      <c r="F22">
        <v>1345.0450000000001</v>
      </c>
      <c r="G22" t="s">
        <v>268</v>
      </c>
      <c r="H22" t="s">
        <v>28</v>
      </c>
      <c r="I22" t="s">
        <v>45</v>
      </c>
      <c r="J22">
        <v>247.84500000000003</v>
      </c>
      <c r="BM22" t="s">
        <v>19</v>
      </c>
      <c r="BN22" t="s">
        <v>173</v>
      </c>
      <c r="BO22" t="s">
        <v>174</v>
      </c>
      <c r="BP22">
        <v>168.8</v>
      </c>
      <c r="BQ22">
        <v>123.63</v>
      </c>
      <c r="BR22">
        <v>237.48</v>
      </c>
      <c r="BS22">
        <v>206.93</v>
      </c>
      <c r="BT22">
        <v>299.92</v>
      </c>
      <c r="BU22">
        <v>9.81</v>
      </c>
      <c r="BV22">
        <v>38.76</v>
      </c>
      <c r="BW22">
        <v>7.67</v>
      </c>
      <c r="BX22">
        <v>0</v>
      </c>
      <c r="BY22">
        <v>0</v>
      </c>
      <c r="BZ22">
        <v>8.7899999999999991</v>
      </c>
      <c r="CA22">
        <v>68.58</v>
      </c>
      <c r="CB22">
        <v>2.79</v>
      </c>
      <c r="CC22">
        <v>1097.2</v>
      </c>
    </row>
    <row r="23" spans="1:81" x14ac:dyDescent="0.25">
      <c r="A23">
        <v>772</v>
      </c>
      <c r="B23" s="2">
        <v>45207</v>
      </c>
      <c r="C23" t="s">
        <v>338</v>
      </c>
      <c r="D23">
        <v>5</v>
      </c>
      <c r="E23">
        <v>38.76</v>
      </c>
      <c r="F23">
        <v>193.79999999999998</v>
      </c>
      <c r="G23" t="s">
        <v>268</v>
      </c>
      <c r="H23" t="s">
        <v>28</v>
      </c>
      <c r="I23" t="s">
        <v>45</v>
      </c>
      <c r="J23">
        <v>13.349999999999994</v>
      </c>
      <c r="K23" t="s">
        <v>135</v>
      </c>
      <c r="L23" t="s">
        <v>326</v>
      </c>
      <c r="M23" t="s">
        <v>450</v>
      </c>
      <c r="N23" t="s">
        <v>451</v>
      </c>
      <c r="O23" t="s">
        <v>60</v>
      </c>
      <c r="P23" t="s">
        <v>60</v>
      </c>
      <c r="Q23" t="s">
        <v>60</v>
      </c>
      <c r="R23" t="s">
        <v>60</v>
      </c>
      <c r="S23" t="s">
        <v>90</v>
      </c>
      <c r="T23" t="s">
        <v>327</v>
      </c>
      <c r="U23" t="s">
        <v>233</v>
      </c>
      <c r="V23" t="s">
        <v>328</v>
      </c>
      <c r="W23" t="s">
        <v>60</v>
      </c>
      <c r="X23" t="s">
        <v>60</v>
      </c>
      <c r="Y23" t="s">
        <v>55</v>
      </c>
      <c r="Z23" t="s">
        <v>56</v>
      </c>
      <c r="AA23" t="s">
        <v>60</v>
      </c>
      <c r="AB23" t="s">
        <v>60</v>
      </c>
      <c r="AC23" t="s">
        <v>60</v>
      </c>
      <c r="AD23" t="s">
        <v>60</v>
      </c>
      <c r="AE23" t="s">
        <v>60</v>
      </c>
      <c r="AF23" t="s">
        <v>60</v>
      </c>
      <c r="AG23" t="s">
        <v>450</v>
      </c>
      <c r="AH23" t="s">
        <v>452</v>
      </c>
      <c r="AI23">
        <v>5</v>
      </c>
      <c r="AJ23">
        <v>180.45</v>
      </c>
      <c r="AK23" t="s">
        <v>167</v>
      </c>
      <c r="AL23" t="s">
        <v>434</v>
      </c>
      <c r="AM23" t="s">
        <v>57</v>
      </c>
      <c r="AN23" t="s">
        <v>58</v>
      </c>
      <c r="AO23" t="s">
        <v>60</v>
      </c>
      <c r="AP23" t="s">
        <v>60</v>
      </c>
      <c r="AQ23">
        <v>0</v>
      </c>
      <c r="AR23">
        <v>0</v>
      </c>
      <c r="AS23" t="s">
        <v>121</v>
      </c>
      <c r="AT23" t="s">
        <v>60</v>
      </c>
      <c r="AU23" t="s">
        <v>60</v>
      </c>
      <c r="AV23" t="s">
        <v>59</v>
      </c>
      <c r="AW23" t="s">
        <v>521</v>
      </c>
      <c r="AX23" t="s">
        <v>522</v>
      </c>
      <c r="AY23" t="s">
        <v>524</v>
      </c>
      <c r="AZ23" t="s">
        <v>525</v>
      </c>
      <c r="BA23" t="s">
        <v>523</v>
      </c>
      <c r="BB23" t="s">
        <v>526</v>
      </c>
      <c r="BL23" t="s">
        <v>527</v>
      </c>
      <c r="BM23" t="s">
        <v>13</v>
      </c>
      <c r="BN23" t="s">
        <v>333</v>
      </c>
      <c r="BO23" t="s">
        <v>174</v>
      </c>
      <c r="BP23">
        <v>36.089999999999996</v>
      </c>
      <c r="BQ23">
        <v>123.63</v>
      </c>
      <c r="BR23">
        <v>237.48</v>
      </c>
      <c r="BS23">
        <v>206.93</v>
      </c>
      <c r="BT23">
        <v>299.92</v>
      </c>
      <c r="BU23">
        <v>9.81</v>
      </c>
      <c r="BV23">
        <v>38.76</v>
      </c>
      <c r="BW23">
        <v>7.67</v>
      </c>
      <c r="BX23">
        <v>0</v>
      </c>
      <c r="BY23">
        <v>0</v>
      </c>
      <c r="BZ23">
        <v>8.7899999999999991</v>
      </c>
      <c r="CA23">
        <v>68.58</v>
      </c>
      <c r="CB23">
        <v>2.79</v>
      </c>
      <c r="CC23">
        <v>180.45</v>
      </c>
    </row>
    <row r="24" spans="1:81" x14ac:dyDescent="0.25">
      <c r="A24">
        <v>772</v>
      </c>
      <c r="B24" s="2">
        <v>45207</v>
      </c>
      <c r="C24" t="s">
        <v>339</v>
      </c>
      <c r="D24">
        <v>17.5</v>
      </c>
      <c r="E24">
        <v>2.79</v>
      </c>
      <c r="F24">
        <v>48.825000000000003</v>
      </c>
      <c r="G24" t="s">
        <v>268</v>
      </c>
      <c r="H24" t="s">
        <v>28</v>
      </c>
      <c r="I24" t="s">
        <v>45</v>
      </c>
      <c r="J24">
        <v>5.4250000000000043</v>
      </c>
      <c r="K24" t="s">
        <v>135</v>
      </c>
      <c r="L24" t="s">
        <v>326</v>
      </c>
      <c r="M24" t="s">
        <v>450</v>
      </c>
      <c r="N24" t="s">
        <v>451</v>
      </c>
      <c r="O24" t="s">
        <v>60</v>
      </c>
      <c r="P24" t="s">
        <v>60</v>
      </c>
      <c r="Q24" t="s">
        <v>60</v>
      </c>
      <c r="R24" t="s">
        <v>60</v>
      </c>
      <c r="S24" t="s">
        <v>90</v>
      </c>
      <c r="T24" t="s">
        <v>327</v>
      </c>
      <c r="U24" t="s">
        <v>233</v>
      </c>
      <c r="V24" t="s">
        <v>328</v>
      </c>
      <c r="W24" t="s">
        <v>60</v>
      </c>
      <c r="X24" t="s">
        <v>60</v>
      </c>
      <c r="Y24" t="s">
        <v>55</v>
      </c>
      <c r="Z24" t="s">
        <v>56</v>
      </c>
      <c r="AA24" t="s">
        <v>60</v>
      </c>
      <c r="AB24" t="s">
        <v>60</v>
      </c>
      <c r="AC24" t="s">
        <v>60</v>
      </c>
      <c r="AD24" t="s">
        <v>60</v>
      </c>
      <c r="AE24" t="s">
        <v>60</v>
      </c>
      <c r="AF24" t="s">
        <v>60</v>
      </c>
      <c r="AI24" t="s">
        <v>431</v>
      </c>
      <c r="AJ24" t="s">
        <v>433</v>
      </c>
      <c r="AK24" t="s">
        <v>167</v>
      </c>
      <c r="AL24" t="s">
        <v>434</v>
      </c>
      <c r="AM24" t="s">
        <v>57</v>
      </c>
      <c r="AN24" t="s">
        <v>58</v>
      </c>
      <c r="AO24" t="s">
        <v>60</v>
      </c>
      <c r="AP24" t="s">
        <v>60</v>
      </c>
      <c r="AQ24" t="s">
        <v>60</v>
      </c>
      <c r="AR24" t="s">
        <v>60</v>
      </c>
      <c r="AV24" t="s">
        <v>59</v>
      </c>
      <c r="BB24" t="s">
        <v>526</v>
      </c>
      <c r="BL24" t="s">
        <v>527</v>
      </c>
      <c r="BM24" t="s">
        <v>14</v>
      </c>
      <c r="BN24" t="s">
        <v>333</v>
      </c>
      <c r="BO24" t="s">
        <v>174</v>
      </c>
      <c r="BP24">
        <v>2.48</v>
      </c>
      <c r="BQ24">
        <v>123.63</v>
      </c>
      <c r="BR24">
        <v>237.48</v>
      </c>
      <c r="BS24">
        <v>206.93</v>
      </c>
      <c r="BT24">
        <v>299.92</v>
      </c>
      <c r="BU24">
        <v>9.81</v>
      </c>
      <c r="BV24">
        <v>38.76</v>
      </c>
      <c r="BW24">
        <v>7.67</v>
      </c>
      <c r="BX24">
        <v>0</v>
      </c>
      <c r="BY24">
        <v>0</v>
      </c>
      <c r="BZ24">
        <v>8.7899999999999991</v>
      </c>
      <c r="CA24">
        <v>68.58</v>
      </c>
      <c r="CB24">
        <v>2.79</v>
      </c>
      <c r="CC24">
        <v>43.4</v>
      </c>
    </row>
    <row r="25" spans="1:81" x14ac:dyDescent="0.25">
      <c r="A25">
        <v>772</v>
      </c>
      <c r="B25" s="2">
        <v>45207</v>
      </c>
      <c r="C25" t="s">
        <v>340</v>
      </c>
      <c r="D25">
        <v>49.5</v>
      </c>
      <c r="E25">
        <v>9.81</v>
      </c>
      <c r="F25">
        <v>485.59500000000003</v>
      </c>
      <c r="G25" t="s">
        <v>268</v>
      </c>
      <c r="H25" t="s">
        <v>28</v>
      </c>
      <c r="I25" t="s">
        <v>45</v>
      </c>
      <c r="J25">
        <v>104.44500000000005</v>
      </c>
      <c r="K25" t="s">
        <v>135</v>
      </c>
      <c r="L25" t="s">
        <v>326</v>
      </c>
      <c r="M25" t="s">
        <v>450</v>
      </c>
      <c r="N25" t="s">
        <v>451</v>
      </c>
      <c r="O25" t="s">
        <v>60</v>
      </c>
      <c r="P25" t="s">
        <v>60</v>
      </c>
      <c r="Q25" t="s">
        <v>60</v>
      </c>
      <c r="R25" t="s">
        <v>60</v>
      </c>
      <c r="S25" t="s">
        <v>90</v>
      </c>
      <c r="T25" t="s">
        <v>327</v>
      </c>
      <c r="U25" t="s">
        <v>233</v>
      </c>
      <c r="V25" t="s">
        <v>328</v>
      </c>
      <c r="W25" t="s">
        <v>60</v>
      </c>
      <c r="X25" t="s">
        <v>60</v>
      </c>
      <c r="Y25" t="s">
        <v>55</v>
      </c>
      <c r="Z25" t="s">
        <v>56</v>
      </c>
      <c r="AA25" t="s">
        <v>60</v>
      </c>
      <c r="AB25" t="s">
        <v>60</v>
      </c>
      <c r="AC25" t="s">
        <v>60</v>
      </c>
      <c r="AD25" t="s">
        <v>60</v>
      </c>
      <c r="AE25" t="s">
        <v>60</v>
      </c>
      <c r="AF25" t="s">
        <v>60</v>
      </c>
      <c r="AG25" t="s">
        <v>450</v>
      </c>
      <c r="AH25" t="s">
        <v>452</v>
      </c>
      <c r="AI25" t="s">
        <v>431</v>
      </c>
      <c r="AJ25" t="s">
        <v>433</v>
      </c>
      <c r="AK25" t="s">
        <v>167</v>
      </c>
      <c r="AL25" t="s">
        <v>434</v>
      </c>
      <c r="AM25" t="s">
        <v>57</v>
      </c>
      <c r="AN25" t="s">
        <v>58</v>
      </c>
      <c r="AV25" t="s">
        <v>59</v>
      </c>
      <c r="BM25" t="s">
        <v>22</v>
      </c>
      <c r="BN25" t="s">
        <v>333</v>
      </c>
      <c r="BO25" t="s">
        <v>174</v>
      </c>
      <c r="BP25">
        <v>7.6999999999999993</v>
      </c>
      <c r="BQ25">
        <v>123.63</v>
      </c>
      <c r="BR25">
        <v>237.48</v>
      </c>
      <c r="BS25">
        <v>206.93</v>
      </c>
      <c r="BT25">
        <v>299.92</v>
      </c>
      <c r="BU25">
        <v>9.81</v>
      </c>
      <c r="BV25">
        <v>38.76</v>
      </c>
      <c r="BW25">
        <v>7.67</v>
      </c>
      <c r="BX25">
        <v>0</v>
      </c>
      <c r="BY25">
        <v>0</v>
      </c>
      <c r="BZ25">
        <v>8.7899999999999991</v>
      </c>
      <c r="CA25">
        <v>68.58</v>
      </c>
      <c r="CB25">
        <v>2.79</v>
      </c>
      <c r="CC25">
        <v>381.15</v>
      </c>
    </row>
    <row r="26" spans="1:81" x14ac:dyDescent="0.25">
      <c r="A26">
        <v>772</v>
      </c>
      <c r="B26" s="2">
        <v>45207</v>
      </c>
      <c r="C26" t="s">
        <v>341</v>
      </c>
      <c r="D26">
        <v>6</v>
      </c>
      <c r="E26">
        <v>68.58</v>
      </c>
      <c r="F26">
        <v>411.48</v>
      </c>
      <c r="G26" t="s">
        <v>268</v>
      </c>
      <c r="H26" t="s">
        <v>28</v>
      </c>
      <c r="I26" t="s">
        <v>45</v>
      </c>
      <c r="J26">
        <v>81.480000000000018</v>
      </c>
      <c r="K26" t="s">
        <v>135</v>
      </c>
      <c r="L26" t="s">
        <v>326</v>
      </c>
      <c r="M26" t="s">
        <v>450</v>
      </c>
      <c r="N26" t="s">
        <v>451</v>
      </c>
      <c r="O26" t="s">
        <v>60</v>
      </c>
      <c r="P26" t="s">
        <v>60</v>
      </c>
      <c r="Q26" t="s">
        <v>60</v>
      </c>
      <c r="R26" t="s">
        <v>60</v>
      </c>
      <c r="S26" t="s">
        <v>90</v>
      </c>
      <c r="T26" t="s">
        <v>327</v>
      </c>
      <c r="U26" t="s">
        <v>233</v>
      </c>
      <c r="V26" t="s">
        <v>328</v>
      </c>
      <c r="W26" t="s">
        <v>60</v>
      </c>
      <c r="X26" t="s">
        <v>60</v>
      </c>
      <c r="Y26" t="s">
        <v>55</v>
      </c>
      <c r="Z26" t="s">
        <v>56</v>
      </c>
      <c r="AA26" t="s">
        <v>60</v>
      </c>
      <c r="AB26" t="s">
        <v>60</v>
      </c>
      <c r="AC26" t="s">
        <v>60</v>
      </c>
      <c r="AD26" t="s">
        <v>60</v>
      </c>
      <c r="AE26" t="s">
        <v>60</v>
      </c>
      <c r="AF26" t="s">
        <v>60</v>
      </c>
      <c r="AG26" t="s">
        <v>450</v>
      </c>
      <c r="AH26" t="s">
        <v>452</v>
      </c>
      <c r="AI26" t="s">
        <v>431</v>
      </c>
      <c r="AJ26" t="s">
        <v>433</v>
      </c>
      <c r="AK26">
        <v>6</v>
      </c>
      <c r="AL26">
        <v>330</v>
      </c>
      <c r="AM26" t="s">
        <v>57</v>
      </c>
      <c r="AN26" t="s">
        <v>58</v>
      </c>
      <c r="AO26">
        <v>0</v>
      </c>
      <c r="AP26">
        <v>0</v>
      </c>
      <c r="AQ26" t="s">
        <v>60</v>
      </c>
      <c r="AR26" t="s">
        <v>60</v>
      </c>
      <c r="AS26" t="s">
        <v>121</v>
      </c>
      <c r="AT26" t="s">
        <v>60</v>
      </c>
      <c r="AU26" t="s">
        <v>60</v>
      </c>
      <c r="AV26" t="s">
        <v>59</v>
      </c>
      <c r="AW26" t="s">
        <v>521</v>
      </c>
      <c r="AX26" t="s">
        <v>522</v>
      </c>
      <c r="AY26" t="s">
        <v>524</v>
      </c>
      <c r="AZ26" t="s">
        <v>525</v>
      </c>
      <c r="BA26" t="s">
        <v>523</v>
      </c>
      <c r="BB26" t="s">
        <v>526</v>
      </c>
      <c r="BC26" t="s">
        <v>121</v>
      </c>
      <c r="BD26" t="s">
        <v>567</v>
      </c>
      <c r="BE26" t="s">
        <v>60</v>
      </c>
      <c r="BF26" t="s">
        <v>60</v>
      </c>
      <c r="BG26" t="s">
        <v>60</v>
      </c>
      <c r="BH26" t="s">
        <v>60</v>
      </c>
      <c r="BI26" t="s">
        <v>60</v>
      </c>
      <c r="BJ26" t="s">
        <v>60</v>
      </c>
      <c r="BK26" t="s">
        <v>60</v>
      </c>
      <c r="BL26" t="s">
        <v>527</v>
      </c>
      <c r="BM26" t="s">
        <v>25</v>
      </c>
      <c r="BN26" t="s">
        <v>333</v>
      </c>
      <c r="BO26" t="s">
        <v>174</v>
      </c>
      <c r="BP26">
        <v>55</v>
      </c>
      <c r="BQ26">
        <v>123.63</v>
      </c>
      <c r="BR26">
        <v>237.48</v>
      </c>
      <c r="BS26">
        <v>206.93</v>
      </c>
      <c r="BT26">
        <v>299.92</v>
      </c>
      <c r="BU26">
        <v>9.81</v>
      </c>
      <c r="BV26">
        <v>38.76</v>
      </c>
      <c r="BW26">
        <v>7.67</v>
      </c>
      <c r="BX26">
        <v>0</v>
      </c>
      <c r="BY26">
        <v>0</v>
      </c>
      <c r="BZ26">
        <v>8.7899999999999991</v>
      </c>
      <c r="CA26">
        <v>68.58</v>
      </c>
      <c r="CB26">
        <v>2.79</v>
      </c>
      <c r="CC26">
        <v>330</v>
      </c>
    </row>
    <row r="27" spans="1:81" x14ac:dyDescent="0.25">
      <c r="B27" s="2"/>
      <c r="F27">
        <f>SUBTOTAL(109,DOM_Invoice[Amount])</f>
        <v>15460.924999999999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8B74E-0ADD-44C4-AC74-013F673905A5}">
  <sheetPr codeName="Sheet14">
    <tabColor rgb="FFFF0000"/>
  </sheetPr>
  <dimension ref="A1:CC25"/>
  <sheetViews>
    <sheetView workbookViewId="0">
      <selection sqref="A1:CC25"/>
    </sheetView>
  </sheetViews>
  <sheetFormatPr defaultRowHeight="15" x14ac:dyDescent="0.25"/>
  <cols>
    <col min="1" max="1" width="20.140625" bestFit="1" customWidth="1"/>
    <col min="2" max="2" width="10.85546875" bestFit="1" customWidth="1"/>
    <col min="3" max="3" width="59" bestFit="1" customWidth="1"/>
    <col min="4" max="4" width="7.140625" bestFit="1" customWidth="1"/>
    <col min="5" max="5" width="7.28515625" bestFit="1" customWidth="1"/>
    <col min="6" max="6" width="10.42578125" bestFit="1" customWidth="1"/>
    <col min="7" max="7" width="10.7109375" bestFit="1" customWidth="1"/>
    <col min="8" max="8" width="18.5703125" bestFit="1" customWidth="1"/>
    <col min="9" max="9" width="8.5703125" bestFit="1" customWidth="1"/>
    <col min="10" max="10" width="9.5703125" bestFit="1" customWidth="1"/>
    <col min="11" max="11" width="21.42578125" bestFit="1" customWidth="1"/>
    <col min="12" max="12" width="19.140625" bestFit="1" customWidth="1"/>
    <col min="13" max="13" width="20" bestFit="1" customWidth="1"/>
    <col min="14" max="14" width="17.7109375" bestFit="1" customWidth="1"/>
    <col min="15" max="15" width="20.42578125" bestFit="1" customWidth="1"/>
    <col min="16" max="16" width="18.140625" bestFit="1" customWidth="1"/>
    <col min="17" max="17" width="28" bestFit="1" customWidth="1"/>
    <col min="18" max="18" width="25.7109375" bestFit="1" customWidth="1"/>
    <col min="19" max="19" width="18" bestFit="1" customWidth="1"/>
    <col min="20" max="20" width="15.85546875" bestFit="1" customWidth="1"/>
    <col min="21" max="21" width="17" bestFit="1" customWidth="1"/>
    <col min="22" max="22" width="14.7109375" bestFit="1" customWidth="1"/>
    <col min="23" max="23" width="23" bestFit="1" customWidth="1"/>
    <col min="24" max="24" width="20.85546875" bestFit="1" customWidth="1"/>
    <col min="25" max="25" width="20.7109375" bestFit="1" customWidth="1"/>
    <col min="26" max="26" width="13.140625" bestFit="1" customWidth="1"/>
    <col min="27" max="27" width="20" bestFit="1" customWidth="1"/>
    <col min="28" max="28" width="17.7109375" bestFit="1" customWidth="1"/>
    <col min="29" max="29" width="20.42578125" bestFit="1" customWidth="1"/>
    <col min="30" max="30" width="18.140625" bestFit="1" customWidth="1"/>
    <col min="31" max="31" width="20.7109375" bestFit="1" customWidth="1"/>
    <col min="32" max="32" width="18.42578125" bestFit="1" customWidth="1"/>
    <col min="33" max="33" width="42.28515625" bestFit="1" customWidth="1"/>
    <col min="34" max="34" width="40" bestFit="1" customWidth="1"/>
    <col min="35" max="35" width="32.85546875" bestFit="1" customWidth="1"/>
    <col min="36" max="36" width="29.140625" bestFit="1" customWidth="1"/>
    <col min="37" max="37" width="32" bestFit="1" customWidth="1"/>
    <col min="38" max="38" width="27.28515625" bestFit="1" customWidth="1"/>
    <col min="39" max="39" width="13.140625" bestFit="1" customWidth="1"/>
    <col min="40" max="40" width="18.28515625" bestFit="1" customWidth="1"/>
    <col min="41" max="41" width="32.7109375" bestFit="1" customWidth="1"/>
    <col min="42" max="42" width="28.140625" bestFit="1" customWidth="1"/>
    <col min="43" max="43" width="40" bestFit="1" customWidth="1"/>
    <col min="44" max="44" width="36.42578125" bestFit="1" customWidth="1"/>
    <col min="45" max="45" width="33.140625" bestFit="1" customWidth="1"/>
    <col min="46" max="46" width="15.42578125" bestFit="1" customWidth="1"/>
    <col min="47" max="47" width="13.140625" bestFit="1" customWidth="1"/>
    <col min="48" max="48" width="16" bestFit="1" customWidth="1"/>
    <col min="49" max="49" width="8.28515625" bestFit="1" customWidth="1"/>
    <col min="50" max="50" width="17.28515625" bestFit="1" customWidth="1"/>
    <col min="51" max="51" width="7.5703125" bestFit="1" customWidth="1"/>
    <col min="52" max="52" width="17.5703125" bestFit="1" customWidth="1"/>
    <col min="53" max="53" width="11.140625" bestFit="1" customWidth="1"/>
    <col min="54" max="54" width="26.42578125" bestFit="1" customWidth="1"/>
    <col min="55" max="55" width="21" bestFit="1" customWidth="1"/>
    <col min="56" max="56" width="34.42578125" bestFit="1" customWidth="1"/>
    <col min="57" max="57" width="27.42578125" bestFit="1" customWidth="1"/>
    <col min="58" max="58" width="27.140625" bestFit="1" customWidth="1"/>
    <col min="59" max="59" width="24.140625" bestFit="1" customWidth="1"/>
    <col min="60" max="63" width="5.28515625" bestFit="1" customWidth="1"/>
    <col min="64" max="64" width="24.28515625" bestFit="1" customWidth="1"/>
    <col min="65" max="65" width="31" bestFit="1" customWidth="1"/>
    <col min="66" max="66" width="8.5703125" bestFit="1" customWidth="1"/>
    <col min="67" max="67" width="11.85546875" bestFit="1" customWidth="1"/>
    <col min="68" max="68" width="11.5703125" bestFit="1" customWidth="1"/>
    <col min="69" max="69" width="7" bestFit="1" customWidth="1"/>
    <col min="70" max="70" width="10.28515625" bestFit="1" customWidth="1"/>
    <col min="71" max="71" width="7" bestFit="1" customWidth="1"/>
    <col min="72" max="72" width="7" customWidth="1"/>
    <col min="73" max="73" width="16.5703125" bestFit="1" customWidth="1"/>
    <col min="74" max="74" width="26.85546875" bestFit="1" customWidth="1"/>
    <col min="75" max="75" width="12.85546875" bestFit="1" customWidth="1"/>
    <col min="76" max="76" width="17" bestFit="1" customWidth="1"/>
    <col min="77" max="77" width="30.85546875" bestFit="1" customWidth="1"/>
    <col min="78" max="78" width="12.85546875" bestFit="1" customWidth="1"/>
    <col min="79" max="79" width="26" bestFit="1" customWidth="1"/>
    <col min="80" max="80" width="33.28515625" bestFit="1" customWidth="1"/>
    <col min="81" max="82" width="14.7109375" bestFit="1" customWidth="1"/>
    <col min="83" max="83" width="12.85546875" bestFit="1" customWidth="1"/>
    <col min="84" max="84" width="17" bestFit="1" customWidth="1"/>
    <col min="85" max="85" width="30.85546875" bestFit="1" customWidth="1"/>
    <col min="86" max="86" width="12.85546875" bestFit="1" customWidth="1"/>
    <col min="87" max="87" width="26" bestFit="1" customWidth="1"/>
    <col min="88" max="88" width="33.28515625" bestFit="1" customWidth="1"/>
    <col min="89" max="89" width="14.7109375" bestFit="1" customWidth="1"/>
    <col min="90" max="90" width="17" bestFit="1" customWidth="1"/>
    <col min="91" max="91" width="30.85546875" bestFit="1" customWidth="1"/>
    <col min="92" max="92" width="12.85546875" bestFit="1" customWidth="1"/>
    <col min="93" max="93" width="26" bestFit="1" customWidth="1"/>
    <col min="94" max="94" width="33.28515625" bestFit="1" customWidth="1"/>
    <col min="95" max="95" width="14.7109375" bestFit="1" customWidth="1"/>
    <col min="96" max="96" width="26" bestFit="1" customWidth="1"/>
    <col min="97" max="97" width="33.28515625" bestFit="1" customWidth="1"/>
    <col min="98" max="98" width="14.7109375" bestFit="1" customWidth="1"/>
    <col min="99" max="99" width="12.85546875" customWidth="1"/>
    <col min="100" max="100" width="26" bestFit="1" customWidth="1"/>
    <col min="101" max="101" width="33.28515625" bestFit="1" customWidth="1"/>
    <col min="102" max="102" width="14.7109375" bestFit="1" customWidth="1"/>
    <col min="103" max="103" width="30.85546875" bestFit="1" customWidth="1"/>
    <col min="104" max="104" width="12.85546875" bestFit="1" customWidth="1"/>
    <col min="105" max="105" width="26" bestFit="1" customWidth="1"/>
    <col min="106" max="106" width="33.28515625" bestFit="1" customWidth="1"/>
    <col min="107" max="107" width="14.7109375" bestFit="1" customWidth="1"/>
    <col min="108" max="108" width="26" bestFit="1" customWidth="1"/>
    <col min="109" max="109" width="33.28515625" bestFit="1" customWidth="1"/>
    <col min="110" max="110" width="14.7109375" bestFit="1" customWidth="1"/>
    <col min="111" max="111" width="12.85546875" bestFit="1" customWidth="1"/>
    <col min="112" max="112" width="26" bestFit="1" customWidth="1"/>
    <col min="113" max="113" width="33.28515625" bestFit="1" customWidth="1"/>
    <col min="114" max="114" width="14.7109375" customWidth="1"/>
    <col min="115" max="115" width="12.85546875" bestFit="1" customWidth="1"/>
    <col min="116" max="116" width="17" bestFit="1" customWidth="1"/>
    <col min="117" max="117" width="30.85546875" bestFit="1" customWidth="1"/>
    <col min="118" max="118" width="12.85546875" bestFit="1" customWidth="1"/>
    <col min="119" max="119" width="26" bestFit="1" customWidth="1"/>
    <col min="120" max="120" width="33.28515625" bestFit="1" customWidth="1"/>
    <col min="121" max="121" width="14.7109375" bestFit="1" customWidth="1"/>
    <col min="122" max="122" width="30.85546875" bestFit="1" customWidth="1"/>
    <col min="123" max="123" width="12.85546875" customWidth="1"/>
    <col min="124" max="124" width="26" bestFit="1" customWidth="1"/>
    <col min="125" max="125" width="33.28515625" bestFit="1" customWidth="1"/>
    <col min="126" max="126" width="14.7109375" bestFit="1" customWidth="1"/>
    <col min="127" max="127" width="33.28515625" bestFit="1" customWidth="1"/>
    <col min="128" max="128" width="14.7109375" bestFit="1" customWidth="1"/>
    <col min="129" max="129" width="17" bestFit="1" customWidth="1"/>
    <col min="130" max="130" width="30.85546875" bestFit="1" customWidth="1"/>
    <col min="131" max="131" width="12.85546875" bestFit="1" customWidth="1"/>
    <col min="132" max="132" width="26" bestFit="1" customWidth="1"/>
    <col min="133" max="133" width="33.28515625" bestFit="1" customWidth="1"/>
    <col min="134" max="134" width="14.7109375" bestFit="1" customWidth="1"/>
    <col min="135" max="135" width="26" bestFit="1" customWidth="1"/>
    <col min="136" max="136" width="33.28515625" bestFit="1" customWidth="1"/>
    <col min="137" max="137" width="14.7109375" bestFit="1" customWidth="1"/>
    <col min="138" max="138" width="12.85546875" customWidth="1"/>
    <col min="139" max="139" width="26" bestFit="1" customWidth="1"/>
    <col min="140" max="140" width="33.28515625" bestFit="1" customWidth="1"/>
    <col min="141" max="141" width="14.7109375" bestFit="1" customWidth="1"/>
    <col min="142" max="142" width="33.28515625" bestFit="1" customWidth="1"/>
    <col min="143" max="143" width="14.7109375" bestFit="1" customWidth="1"/>
    <col min="144" max="144" width="17" bestFit="1" customWidth="1"/>
    <col min="145" max="145" width="30.85546875" bestFit="1" customWidth="1"/>
    <col min="146" max="146" width="12.85546875" bestFit="1" customWidth="1"/>
    <col min="147" max="147" width="26" bestFit="1" customWidth="1"/>
    <col min="148" max="148" width="33.28515625" bestFit="1" customWidth="1"/>
    <col min="149" max="149" width="14.7109375" bestFit="1" customWidth="1"/>
    <col min="150" max="150" width="26.85546875" bestFit="1" customWidth="1"/>
    <col min="151" max="151" width="12.85546875" bestFit="1" customWidth="1"/>
    <col min="152" max="152" width="17" bestFit="1" customWidth="1"/>
    <col min="153" max="153" width="30.85546875" bestFit="1" customWidth="1"/>
    <col min="154" max="154" width="12.85546875" customWidth="1"/>
    <col min="155" max="155" width="26" bestFit="1" customWidth="1"/>
    <col min="156" max="156" width="33.28515625" bestFit="1" customWidth="1"/>
    <col min="157" max="157" width="14.7109375" bestFit="1" customWidth="1"/>
    <col min="158" max="158" width="17" bestFit="1" customWidth="1"/>
    <col min="159" max="159" width="30.85546875" bestFit="1" customWidth="1"/>
    <col min="160" max="160" width="12.85546875" bestFit="1" customWidth="1"/>
    <col min="161" max="161" width="26" bestFit="1" customWidth="1"/>
    <col min="162" max="162" width="33.28515625" bestFit="1" customWidth="1"/>
    <col min="163" max="163" width="14.7109375" bestFit="1" customWidth="1"/>
    <col min="164" max="164" width="16.42578125" bestFit="1" customWidth="1"/>
    <col min="165" max="165" width="29.5703125" bestFit="1" customWidth="1"/>
    <col min="166" max="166" width="12.42578125" bestFit="1" customWidth="1"/>
    <col min="167" max="167" width="24.85546875" bestFit="1" customWidth="1"/>
    <col min="168" max="168" width="31.85546875" bestFit="1" customWidth="1"/>
    <col min="169" max="169" width="14.140625" bestFit="1" customWidth="1"/>
    <col min="170" max="170" width="5.5703125" bestFit="1" customWidth="1"/>
    <col min="171" max="171" width="15.85546875" bestFit="1" customWidth="1"/>
    <col min="172" max="172" width="25.7109375" bestFit="1" customWidth="1"/>
    <col min="173" max="173" width="12.42578125" bestFit="1" customWidth="1"/>
    <col min="174" max="174" width="16.42578125" bestFit="1" customWidth="1"/>
    <col min="175" max="175" width="29.5703125" bestFit="1" customWidth="1"/>
    <col min="176" max="176" width="12.42578125" bestFit="1" customWidth="1"/>
    <col min="177" max="177" width="24.85546875" bestFit="1" customWidth="1"/>
    <col min="178" max="178" width="31.85546875" bestFit="1" customWidth="1"/>
    <col min="179" max="179" width="14.140625" bestFit="1" customWidth="1"/>
    <col min="180" max="180" width="12.85546875" bestFit="1" customWidth="1"/>
    <col min="181" max="181" width="26" bestFit="1" customWidth="1"/>
    <col min="182" max="182" width="33.28515625" bestFit="1" customWidth="1"/>
    <col min="183" max="183" width="14.7109375" bestFit="1" customWidth="1"/>
    <col min="184" max="184" width="12.85546875" bestFit="1" customWidth="1"/>
    <col min="185" max="185" width="17" bestFit="1" customWidth="1"/>
    <col min="186" max="186" width="12.85546875" bestFit="1" customWidth="1"/>
    <col min="187" max="187" width="26" bestFit="1" customWidth="1"/>
    <col min="188" max="188" width="33.28515625" bestFit="1" customWidth="1"/>
    <col min="189" max="189" width="14.7109375" bestFit="1" customWidth="1"/>
    <col min="190" max="190" width="12.85546875" bestFit="1" customWidth="1"/>
    <col min="191" max="191" width="26" bestFit="1" customWidth="1"/>
    <col min="192" max="192" width="33.28515625" bestFit="1" customWidth="1"/>
    <col min="193" max="193" width="14.7109375" bestFit="1" customWidth="1"/>
    <col min="194" max="194" width="16.5703125" bestFit="1" customWidth="1"/>
    <col min="195" max="195" width="26.85546875" bestFit="1" customWidth="1"/>
    <col min="196" max="196" width="12.85546875" bestFit="1" customWidth="1"/>
    <col min="197" max="197" width="17" bestFit="1" customWidth="1"/>
    <col min="198" max="198" width="12.85546875" customWidth="1"/>
    <col min="199" max="199" width="26" bestFit="1" customWidth="1"/>
    <col min="200" max="200" width="33.28515625" bestFit="1" customWidth="1"/>
    <col min="201" max="201" width="14.7109375" bestFit="1" customWidth="1"/>
    <col min="202" max="202" width="17" bestFit="1" customWidth="1"/>
    <col min="203" max="203" width="12.85546875" bestFit="1" customWidth="1"/>
    <col min="204" max="204" width="26" bestFit="1" customWidth="1"/>
    <col min="205" max="205" width="33.28515625" bestFit="1" customWidth="1"/>
    <col min="206" max="206" width="14.7109375" bestFit="1" customWidth="1"/>
    <col min="207" max="207" width="12.85546875" bestFit="1" customWidth="1"/>
    <col min="208" max="208" width="17" bestFit="1" customWidth="1"/>
    <col min="209" max="209" width="12.85546875" bestFit="1" customWidth="1"/>
    <col min="210" max="210" width="26" bestFit="1" customWidth="1"/>
    <col min="211" max="211" width="33.28515625" bestFit="1" customWidth="1"/>
    <col min="212" max="212" width="14.7109375" bestFit="1" customWidth="1"/>
    <col min="213" max="213" width="16.5703125" bestFit="1" customWidth="1"/>
    <col min="214" max="214" width="26.85546875" bestFit="1" customWidth="1"/>
    <col min="215" max="215" width="12.85546875" bestFit="1" customWidth="1"/>
    <col min="216" max="216" width="17" bestFit="1" customWidth="1"/>
    <col min="217" max="217" width="12.85546875" bestFit="1" customWidth="1"/>
    <col min="218" max="218" width="26" bestFit="1" customWidth="1"/>
    <col min="219" max="219" width="33.28515625" bestFit="1" customWidth="1"/>
    <col min="220" max="220" width="14.7109375" bestFit="1" customWidth="1"/>
    <col min="221" max="221" width="12.85546875" bestFit="1" customWidth="1"/>
    <col min="222" max="222" width="26" bestFit="1" customWidth="1"/>
    <col min="223" max="223" width="33.28515625" bestFit="1" customWidth="1"/>
    <col min="224" max="224" width="14.7109375" bestFit="1" customWidth="1"/>
    <col min="225" max="225" width="12.85546875" bestFit="1" customWidth="1"/>
    <col min="226" max="226" width="26" bestFit="1" customWidth="1"/>
    <col min="227" max="227" width="33.28515625" bestFit="1" customWidth="1"/>
    <col min="228" max="228" width="14.7109375" bestFit="1" customWidth="1"/>
    <col min="229" max="229" width="33.28515625" bestFit="1" customWidth="1"/>
    <col min="230" max="230" width="14.7109375" bestFit="1" customWidth="1"/>
    <col min="231" max="231" width="16.5703125" bestFit="1" customWidth="1"/>
    <col min="232" max="232" width="26.85546875" bestFit="1" customWidth="1"/>
    <col min="233" max="233" width="12.85546875" bestFit="1" customWidth="1"/>
    <col min="234" max="234" width="17" bestFit="1" customWidth="1"/>
    <col min="235" max="235" width="12.85546875" bestFit="1" customWidth="1"/>
    <col min="236" max="236" width="26" bestFit="1" customWidth="1"/>
    <col min="237" max="237" width="33.28515625" bestFit="1" customWidth="1"/>
    <col min="238" max="238" width="14.7109375" bestFit="1" customWidth="1"/>
    <col min="239" max="239" width="33.28515625" bestFit="1" customWidth="1"/>
    <col min="240" max="240" width="14.7109375" bestFit="1" customWidth="1"/>
    <col min="241" max="241" width="33.28515625" bestFit="1" customWidth="1"/>
    <col min="242" max="242" width="14.7109375" bestFit="1" customWidth="1"/>
    <col min="243" max="243" width="16.5703125" bestFit="1" customWidth="1"/>
    <col min="244" max="244" width="26.85546875" bestFit="1" customWidth="1"/>
    <col min="245" max="245" width="12.85546875" bestFit="1" customWidth="1"/>
    <col min="246" max="246" width="17" bestFit="1" customWidth="1"/>
    <col min="247" max="247" width="12.85546875" bestFit="1" customWidth="1"/>
    <col min="248" max="248" width="26" bestFit="1" customWidth="1"/>
    <col min="249" max="249" width="33.28515625" bestFit="1" customWidth="1"/>
    <col min="250" max="250" width="14.7109375" bestFit="1" customWidth="1"/>
    <col min="251" max="251" width="16.5703125" bestFit="1" customWidth="1"/>
    <col min="252" max="252" width="26.85546875" bestFit="1" customWidth="1"/>
    <col min="253" max="253" width="12.85546875" bestFit="1" customWidth="1"/>
    <col min="254" max="254" width="17" bestFit="1" customWidth="1"/>
    <col min="255" max="255" width="12.85546875" bestFit="1" customWidth="1"/>
    <col min="256" max="256" width="26" bestFit="1" customWidth="1"/>
    <col min="257" max="257" width="33.28515625" bestFit="1" customWidth="1"/>
    <col min="258" max="258" width="14.7109375" bestFit="1" customWidth="1"/>
    <col min="259" max="260" width="5.7109375" bestFit="1" customWidth="1"/>
    <col min="261" max="261" width="16.5703125" bestFit="1" customWidth="1"/>
    <col min="262" max="262" width="26.85546875" bestFit="1" customWidth="1"/>
    <col min="263" max="263" width="12.85546875" customWidth="1"/>
    <col min="264" max="264" width="17" bestFit="1" customWidth="1"/>
    <col min="265" max="265" width="12.85546875" customWidth="1"/>
    <col min="266" max="266" width="26" bestFit="1" customWidth="1"/>
    <col min="267" max="267" width="33.28515625" bestFit="1" customWidth="1"/>
    <col min="268" max="268" width="14.7109375" bestFit="1" customWidth="1"/>
    <col min="269" max="269" width="17" bestFit="1" customWidth="1"/>
    <col min="270" max="270" width="12.85546875" customWidth="1"/>
    <col min="271" max="271" width="26" bestFit="1" customWidth="1"/>
    <col min="272" max="272" width="33.28515625" bestFit="1" customWidth="1"/>
    <col min="273" max="273" width="14.7109375" bestFit="1" customWidth="1"/>
    <col min="274" max="274" width="26" bestFit="1" customWidth="1"/>
    <col min="275" max="275" width="33.28515625" bestFit="1" customWidth="1"/>
    <col min="276" max="276" width="14.7109375" bestFit="1" customWidth="1"/>
    <col min="277" max="277" width="11.5703125" bestFit="1" customWidth="1"/>
    <col min="278" max="278" width="5.7109375" bestFit="1" customWidth="1"/>
    <col min="279" max="279" width="10.28515625" bestFit="1" customWidth="1"/>
    <col min="280" max="281" width="5.7109375" bestFit="1" customWidth="1"/>
    <col min="282" max="282" width="16.5703125" bestFit="1" customWidth="1"/>
    <col min="283" max="283" width="26.85546875" bestFit="1" customWidth="1"/>
    <col min="284" max="284" width="12.85546875" bestFit="1" customWidth="1"/>
    <col min="285" max="285" width="17" bestFit="1" customWidth="1"/>
    <col min="286" max="286" width="12.85546875" bestFit="1" customWidth="1"/>
    <col min="287" max="287" width="26" bestFit="1" customWidth="1"/>
    <col min="288" max="288" width="33.28515625" bestFit="1" customWidth="1"/>
    <col min="289" max="289" width="14.7109375" bestFit="1" customWidth="1"/>
    <col min="290" max="290" width="33.28515625" bestFit="1" customWidth="1"/>
    <col min="291" max="291" width="14.7109375" bestFit="1" customWidth="1"/>
    <col min="292" max="292" width="16.5703125" bestFit="1" customWidth="1"/>
    <col min="293" max="293" width="26.85546875" bestFit="1" customWidth="1"/>
    <col min="294" max="294" width="12.85546875" customWidth="1"/>
    <col min="295" max="295" width="17" bestFit="1" customWidth="1"/>
    <col min="296" max="296" width="12.85546875" customWidth="1"/>
    <col min="297" max="297" width="26" bestFit="1" customWidth="1"/>
    <col min="298" max="298" width="33.28515625" bestFit="1" customWidth="1"/>
    <col min="299" max="299" width="14.7109375" bestFit="1" customWidth="1"/>
    <col min="300" max="300" width="17" bestFit="1" customWidth="1"/>
    <col min="301" max="301" width="12.85546875" customWidth="1"/>
    <col min="302" max="302" width="26" bestFit="1" customWidth="1"/>
    <col min="303" max="303" width="33.28515625" bestFit="1" customWidth="1"/>
    <col min="304" max="304" width="14.7109375" bestFit="1" customWidth="1"/>
    <col min="305" max="305" width="26" bestFit="1" customWidth="1"/>
    <col min="306" max="306" width="33.28515625" bestFit="1" customWidth="1"/>
    <col min="307" max="307" width="14.7109375" bestFit="1" customWidth="1"/>
    <col min="308" max="308" width="17" customWidth="1"/>
    <col min="309" max="309" width="12.85546875" bestFit="1" customWidth="1"/>
    <col min="310" max="310" width="26" bestFit="1" customWidth="1"/>
    <col min="311" max="311" width="33.28515625" bestFit="1" customWidth="1"/>
    <col min="312" max="312" width="14.7109375" bestFit="1" customWidth="1"/>
    <col min="313" max="313" width="12.85546875" bestFit="1" customWidth="1"/>
    <col min="314" max="314" width="26" bestFit="1" customWidth="1"/>
    <col min="315" max="315" width="33.28515625" bestFit="1" customWidth="1"/>
    <col min="316" max="316" width="14.7109375" bestFit="1" customWidth="1"/>
    <col min="317" max="317" width="12.85546875" bestFit="1" customWidth="1"/>
    <col min="318" max="318" width="17" bestFit="1" customWidth="1"/>
    <col min="319" max="319" width="12.85546875" bestFit="1" customWidth="1"/>
    <col min="320" max="320" width="26" bestFit="1" customWidth="1"/>
    <col min="321" max="321" width="33.28515625" bestFit="1" customWidth="1"/>
    <col min="322" max="322" width="14.7109375" bestFit="1" customWidth="1"/>
    <col min="323" max="323" width="12.85546875" bestFit="1" customWidth="1"/>
    <col min="324" max="324" width="17" bestFit="1" customWidth="1"/>
    <col min="325" max="325" width="12.85546875" bestFit="1" customWidth="1"/>
    <col min="326" max="326" width="26" bestFit="1" customWidth="1"/>
    <col min="327" max="327" width="33.28515625" bestFit="1" customWidth="1"/>
    <col min="328" max="328" width="14.7109375" bestFit="1" customWidth="1"/>
    <col min="329" max="329" width="26" bestFit="1" customWidth="1"/>
    <col min="330" max="330" width="33.28515625" bestFit="1" customWidth="1"/>
    <col min="331" max="331" width="14.7109375" bestFit="1" customWidth="1"/>
    <col min="332" max="332" width="33.28515625" bestFit="1" customWidth="1"/>
    <col min="333" max="333" width="14.7109375" bestFit="1" customWidth="1"/>
    <col min="334" max="334" width="12.85546875" bestFit="1" customWidth="1"/>
    <col min="335" max="335" width="26" bestFit="1" customWidth="1"/>
    <col min="336" max="336" width="33.28515625" bestFit="1" customWidth="1"/>
    <col min="337" max="337" width="14.7109375" bestFit="1" customWidth="1"/>
    <col min="338" max="338" width="12.85546875" customWidth="1"/>
    <col min="339" max="339" width="26" bestFit="1" customWidth="1"/>
    <col min="340" max="340" width="33.28515625" bestFit="1" customWidth="1"/>
    <col min="341" max="341" width="14.7109375" bestFit="1" customWidth="1"/>
    <col min="342" max="342" width="26" bestFit="1" customWidth="1"/>
    <col min="343" max="343" width="33.28515625" bestFit="1" customWidth="1"/>
    <col min="344" max="344" width="14.7109375" bestFit="1" customWidth="1"/>
    <col min="345" max="345" width="17" bestFit="1" customWidth="1"/>
    <col min="346" max="346" width="12.85546875" bestFit="1" customWidth="1"/>
    <col min="347" max="347" width="26" bestFit="1" customWidth="1"/>
    <col min="348" max="348" width="33.28515625" bestFit="1" customWidth="1"/>
    <col min="349" max="349" width="14.7109375" bestFit="1" customWidth="1"/>
    <col min="350" max="350" width="26" bestFit="1" customWidth="1"/>
    <col min="351" max="351" width="33.28515625" bestFit="1" customWidth="1"/>
    <col min="352" max="352" width="14.7109375" bestFit="1" customWidth="1"/>
    <col min="353" max="353" width="26" bestFit="1" customWidth="1"/>
    <col min="354" max="354" width="33.28515625" bestFit="1" customWidth="1"/>
    <col min="355" max="355" width="14.7109375" bestFit="1" customWidth="1"/>
    <col min="356" max="356" width="26" bestFit="1" customWidth="1"/>
    <col min="357" max="357" width="33.28515625" bestFit="1" customWidth="1"/>
    <col min="358" max="358" width="14.7109375" bestFit="1" customWidth="1"/>
    <col min="359" max="359" width="26" bestFit="1" customWidth="1"/>
    <col min="360" max="360" width="33.28515625" bestFit="1" customWidth="1"/>
    <col min="361" max="361" width="14.7109375" bestFit="1" customWidth="1"/>
    <col min="362" max="362" width="12.85546875" customWidth="1"/>
    <col min="363" max="363" width="26" bestFit="1" customWidth="1"/>
    <col min="364" max="364" width="33.28515625" bestFit="1" customWidth="1"/>
    <col min="365" max="365" width="14.7109375" bestFit="1" customWidth="1"/>
    <col min="366" max="366" width="26" bestFit="1" customWidth="1"/>
    <col min="367" max="367" width="33.28515625" bestFit="1" customWidth="1"/>
    <col min="368" max="368" width="14.7109375" bestFit="1" customWidth="1"/>
    <col min="369" max="369" width="26" bestFit="1" customWidth="1"/>
    <col min="370" max="370" width="33.28515625" bestFit="1" customWidth="1"/>
    <col min="371" max="371" width="14.7109375" bestFit="1" customWidth="1"/>
    <col min="372" max="372" width="17" bestFit="1" customWidth="1"/>
    <col min="373" max="373" width="12.85546875" bestFit="1" customWidth="1"/>
    <col min="374" max="374" width="26" bestFit="1" customWidth="1"/>
    <col min="375" max="375" width="33.28515625" bestFit="1" customWidth="1"/>
    <col min="376" max="376" width="14.7109375" bestFit="1" customWidth="1"/>
    <col min="377" max="377" width="12.85546875" bestFit="1" customWidth="1"/>
    <col min="378" max="378" width="26" bestFit="1" customWidth="1"/>
    <col min="379" max="379" width="33.28515625" bestFit="1" customWidth="1"/>
    <col min="380" max="380" width="14.7109375" bestFit="1" customWidth="1"/>
    <col min="381" max="381" width="12.85546875" customWidth="1"/>
    <col min="382" max="382" width="17" bestFit="1" customWidth="1"/>
    <col min="383" max="383" width="12.85546875" customWidth="1"/>
    <col min="384" max="384" width="26" bestFit="1" customWidth="1"/>
    <col min="385" max="385" width="33.28515625" bestFit="1" customWidth="1"/>
    <col min="386" max="386" width="14.7109375" bestFit="1" customWidth="1"/>
    <col min="387" max="387" width="17" bestFit="1" customWidth="1"/>
    <col min="388" max="388" width="12.85546875" bestFit="1" customWidth="1"/>
    <col min="389" max="389" width="26" bestFit="1" customWidth="1"/>
    <col min="390" max="390" width="33.28515625" bestFit="1" customWidth="1"/>
    <col min="391" max="391" width="14.7109375" bestFit="1" customWidth="1"/>
    <col min="392" max="392" width="12.85546875" customWidth="1"/>
    <col min="393" max="393" width="26" bestFit="1" customWidth="1"/>
    <col min="394" max="394" width="33.28515625" bestFit="1" customWidth="1"/>
    <col min="395" max="395" width="14.7109375" bestFit="1" customWidth="1"/>
    <col min="396" max="396" width="33.28515625" bestFit="1" customWidth="1"/>
    <col min="397" max="397" width="14.7109375" bestFit="1" customWidth="1"/>
    <col min="398" max="398" width="33.28515625" bestFit="1" customWidth="1"/>
    <col min="399" max="399" width="14.7109375" bestFit="1" customWidth="1"/>
    <col min="400" max="400" width="33.28515625" bestFit="1" customWidth="1"/>
    <col min="401" max="401" width="14.7109375" bestFit="1" customWidth="1"/>
    <col min="402" max="402" width="33.28515625" bestFit="1" customWidth="1"/>
    <col min="403" max="403" width="14.7109375" bestFit="1" customWidth="1"/>
    <col min="404" max="404" width="17" bestFit="1" customWidth="1"/>
    <col min="405" max="405" width="12.85546875" bestFit="1" customWidth="1"/>
    <col min="406" max="406" width="26" bestFit="1" customWidth="1"/>
    <col min="407" max="407" width="33.28515625" bestFit="1" customWidth="1"/>
    <col min="408" max="408" width="14.7109375" bestFit="1" customWidth="1"/>
    <col min="409" max="409" width="26.85546875" bestFit="1" customWidth="1"/>
    <col min="410" max="410" width="12.85546875" bestFit="1" customWidth="1"/>
    <col min="411" max="411" width="17" bestFit="1" customWidth="1"/>
    <col min="412" max="412" width="12.85546875" customWidth="1"/>
    <col min="413" max="413" width="26" bestFit="1" customWidth="1"/>
    <col min="414" max="414" width="33.28515625" bestFit="1" customWidth="1"/>
    <col min="415" max="415" width="14.7109375" bestFit="1" customWidth="1"/>
    <col min="416" max="416" width="17" bestFit="1" customWidth="1"/>
    <col min="417" max="417" width="12.85546875" bestFit="1" customWidth="1"/>
    <col min="418" max="418" width="26" bestFit="1" customWidth="1"/>
    <col min="419" max="419" width="33.28515625" bestFit="1" customWidth="1"/>
    <col min="420" max="420" width="14.7109375" bestFit="1" customWidth="1"/>
    <col min="421" max="421" width="15.85546875" bestFit="1" customWidth="1"/>
    <col min="422" max="422" width="12.140625" bestFit="1" customWidth="1"/>
    <col min="423" max="423" width="24.28515625" bestFit="1" customWidth="1"/>
    <col min="424" max="424" width="30.85546875" bestFit="1" customWidth="1"/>
    <col min="425" max="425" width="14.140625" bestFit="1" customWidth="1"/>
  </cols>
  <sheetData>
    <row r="1" spans="1:81" x14ac:dyDescent="0.25">
      <c r="A1" t="s">
        <v>0</v>
      </c>
      <c r="B1" t="s">
        <v>38</v>
      </c>
      <c r="C1" t="s">
        <v>46</v>
      </c>
      <c r="D1" t="s">
        <v>17</v>
      </c>
      <c r="E1" t="s">
        <v>42</v>
      </c>
      <c r="F1" t="s">
        <v>41</v>
      </c>
      <c r="G1" t="s">
        <v>44</v>
      </c>
      <c r="H1" t="s">
        <v>1</v>
      </c>
      <c r="I1" t="s">
        <v>43</v>
      </c>
      <c r="J1" t="s">
        <v>65</v>
      </c>
      <c r="K1" t="s">
        <v>124</v>
      </c>
      <c r="L1" t="s">
        <v>125</v>
      </c>
      <c r="M1" t="s">
        <v>126</v>
      </c>
      <c r="N1" t="s">
        <v>127</v>
      </c>
      <c r="O1" t="s">
        <v>418</v>
      </c>
      <c r="P1" t="s">
        <v>419</v>
      </c>
      <c r="Q1" t="s">
        <v>420</v>
      </c>
      <c r="R1" t="s">
        <v>421</v>
      </c>
      <c r="S1" t="s">
        <v>366</v>
      </c>
      <c r="T1" t="s">
        <v>367</v>
      </c>
      <c r="U1" t="s">
        <v>128</v>
      </c>
      <c r="V1" t="s">
        <v>129</v>
      </c>
      <c r="W1" t="s">
        <v>163</v>
      </c>
      <c r="X1" t="s">
        <v>164</v>
      </c>
      <c r="Y1" t="s">
        <v>47</v>
      </c>
      <c r="Z1" t="s">
        <v>48</v>
      </c>
      <c r="AA1" t="s">
        <v>130</v>
      </c>
      <c r="AB1" t="s">
        <v>131</v>
      </c>
      <c r="AC1" t="s">
        <v>165</v>
      </c>
      <c r="AD1" t="s">
        <v>166</v>
      </c>
      <c r="AE1" t="s">
        <v>422</v>
      </c>
      <c r="AF1" t="s">
        <v>423</v>
      </c>
      <c r="AG1" t="s">
        <v>88</v>
      </c>
      <c r="AH1" t="s">
        <v>89</v>
      </c>
      <c r="AI1" t="s">
        <v>240</v>
      </c>
      <c r="AJ1" t="s">
        <v>241</v>
      </c>
      <c r="AK1" t="s">
        <v>242</v>
      </c>
      <c r="AL1" t="s">
        <v>243</v>
      </c>
      <c r="AM1" t="s">
        <v>49</v>
      </c>
      <c r="AN1" t="s">
        <v>50</v>
      </c>
      <c r="AO1" t="s">
        <v>262</v>
      </c>
      <c r="AP1" t="s">
        <v>263</v>
      </c>
      <c r="AQ1" t="s">
        <v>299</v>
      </c>
      <c r="AR1" t="s">
        <v>300</v>
      </c>
      <c r="AS1" t="s">
        <v>171</v>
      </c>
      <c r="AT1" t="s">
        <v>244</v>
      </c>
      <c r="AU1" t="s">
        <v>270</v>
      </c>
      <c r="AV1" t="s">
        <v>51</v>
      </c>
      <c r="AW1" t="s">
        <v>52</v>
      </c>
      <c r="AX1" t="s">
        <v>53</v>
      </c>
      <c r="AY1" t="s">
        <v>117</v>
      </c>
      <c r="AZ1" t="s">
        <v>118</v>
      </c>
      <c r="BA1" t="s">
        <v>54</v>
      </c>
      <c r="BB1" t="s">
        <v>61</v>
      </c>
      <c r="BC1" t="s">
        <v>119</v>
      </c>
      <c r="BD1" t="s">
        <v>120</v>
      </c>
      <c r="BE1" t="s">
        <v>301</v>
      </c>
      <c r="BF1" t="s">
        <v>302</v>
      </c>
      <c r="BG1" t="s">
        <v>558</v>
      </c>
      <c r="BH1" t="s">
        <v>232</v>
      </c>
      <c r="BI1" t="s">
        <v>319</v>
      </c>
      <c r="BJ1" t="s">
        <v>400</v>
      </c>
      <c r="BK1" t="s">
        <v>401</v>
      </c>
      <c r="BL1" t="s">
        <v>62</v>
      </c>
      <c r="BM1" t="s">
        <v>11</v>
      </c>
      <c r="BN1" t="s">
        <v>36</v>
      </c>
      <c r="BO1" t="s">
        <v>37</v>
      </c>
      <c r="BP1" t="s">
        <v>39</v>
      </c>
      <c r="BQ1" t="s">
        <v>18</v>
      </c>
      <c r="BR1" t="s">
        <v>21</v>
      </c>
      <c r="BS1" t="s">
        <v>19</v>
      </c>
      <c r="BT1" t="s">
        <v>20</v>
      </c>
      <c r="BU1" t="s">
        <v>22</v>
      </c>
      <c r="BV1" t="s">
        <v>13</v>
      </c>
      <c r="BW1" t="s">
        <v>23</v>
      </c>
      <c r="BX1" t="s">
        <v>69</v>
      </c>
      <c r="BY1" t="s">
        <v>231</v>
      </c>
      <c r="BZ1" t="s">
        <v>24</v>
      </c>
      <c r="CA1" t="s">
        <v>25</v>
      </c>
      <c r="CB1" t="s">
        <v>14</v>
      </c>
      <c r="CC1" t="s">
        <v>40</v>
      </c>
    </row>
    <row r="2" spans="1:81" x14ac:dyDescent="0.25">
      <c r="A2">
        <v>775</v>
      </c>
      <c r="B2" s="2">
        <v>45202</v>
      </c>
      <c r="C2" t="s">
        <v>342</v>
      </c>
      <c r="D2">
        <v>7.5</v>
      </c>
      <c r="E2">
        <v>123.63</v>
      </c>
      <c r="F2">
        <v>927.22499999999991</v>
      </c>
      <c r="G2" t="s">
        <v>267</v>
      </c>
      <c r="H2" t="s">
        <v>28</v>
      </c>
      <c r="I2" t="s">
        <v>45</v>
      </c>
      <c r="J2">
        <v>294.22499999999991</v>
      </c>
      <c r="BM2" t="s">
        <v>18</v>
      </c>
      <c r="BN2" t="s">
        <v>147</v>
      </c>
      <c r="BO2" t="s">
        <v>148</v>
      </c>
      <c r="BP2">
        <v>84.4</v>
      </c>
      <c r="BQ2">
        <v>123.63</v>
      </c>
      <c r="BR2">
        <v>237.48</v>
      </c>
      <c r="BS2">
        <v>206.93</v>
      </c>
      <c r="BT2">
        <v>299.92</v>
      </c>
      <c r="BU2">
        <v>9.81</v>
      </c>
      <c r="BV2">
        <v>38.76</v>
      </c>
      <c r="BW2">
        <v>7.67</v>
      </c>
      <c r="BX2">
        <v>0</v>
      </c>
      <c r="BY2">
        <v>0</v>
      </c>
      <c r="BZ2">
        <v>8.7899999999999991</v>
      </c>
      <c r="CA2">
        <v>68.58</v>
      </c>
      <c r="CB2">
        <v>2.79</v>
      </c>
      <c r="CC2">
        <v>633</v>
      </c>
    </row>
    <row r="3" spans="1:81" x14ac:dyDescent="0.25">
      <c r="A3">
        <v>775</v>
      </c>
      <c r="B3" s="2">
        <v>45203</v>
      </c>
      <c r="C3" t="s">
        <v>342</v>
      </c>
      <c r="D3">
        <v>8</v>
      </c>
      <c r="E3">
        <v>123.63</v>
      </c>
      <c r="F3">
        <v>989.04</v>
      </c>
      <c r="G3" t="s">
        <v>267</v>
      </c>
      <c r="H3" t="s">
        <v>28</v>
      </c>
      <c r="I3" t="s">
        <v>45</v>
      </c>
      <c r="J3">
        <v>313.83999999999992</v>
      </c>
      <c r="BM3" t="s">
        <v>18</v>
      </c>
      <c r="BN3" t="s">
        <v>147</v>
      </c>
      <c r="BO3" t="s">
        <v>148</v>
      </c>
      <c r="BP3">
        <v>84.4</v>
      </c>
      <c r="BQ3">
        <v>123.63</v>
      </c>
      <c r="BR3">
        <v>237.48</v>
      </c>
      <c r="BS3">
        <v>206.93</v>
      </c>
      <c r="BT3">
        <v>299.92</v>
      </c>
      <c r="BU3">
        <v>9.81</v>
      </c>
      <c r="BV3">
        <v>38.76</v>
      </c>
      <c r="BW3">
        <v>7.67</v>
      </c>
      <c r="BX3">
        <v>0</v>
      </c>
      <c r="BY3">
        <v>0</v>
      </c>
      <c r="BZ3">
        <v>8.7899999999999991</v>
      </c>
      <c r="CA3">
        <v>68.58</v>
      </c>
      <c r="CB3">
        <v>2.79</v>
      </c>
      <c r="CC3">
        <v>675.2</v>
      </c>
    </row>
    <row r="4" spans="1:81" x14ac:dyDescent="0.25">
      <c r="A4">
        <v>775</v>
      </c>
      <c r="B4" s="2">
        <v>45203</v>
      </c>
      <c r="C4" t="s">
        <v>343</v>
      </c>
      <c r="D4">
        <v>2.5</v>
      </c>
      <c r="E4">
        <v>206.93</v>
      </c>
      <c r="F4">
        <v>517.32500000000005</v>
      </c>
      <c r="G4" t="s">
        <v>267</v>
      </c>
      <c r="H4" t="s">
        <v>28</v>
      </c>
      <c r="I4" t="s">
        <v>45</v>
      </c>
      <c r="J4">
        <v>95.325000000000045</v>
      </c>
      <c r="BM4" t="s">
        <v>19</v>
      </c>
      <c r="BN4" t="s">
        <v>147</v>
      </c>
      <c r="BO4" t="s">
        <v>148</v>
      </c>
      <c r="BP4">
        <v>168.8</v>
      </c>
      <c r="BQ4">
        <v>123.63</v>
      </c>
      <c r="BR4">
        <v>237.48</v>
      </c>
      <c r="BS4">
        <v>206.93</v>
      </c>
      <c r="BT4">
        <v>299.92</v>
      </c>
      <c r="BU4">
        <v>9.81</v>
      </c>
      <c r="BV4">
        <v>38.76</v>
      </c>
      <c r="BW4">
        <v>7.67</v>
      </c>
      <c r="BX4">
        <v>0</v>
      </c>
      <c r="BY4">
        <v>0</v>
      </c>
      <c r="BZ4">
        <v>8.7899999999999991</v>
      </c>
      <c r="CA4">
        <v>68.58</v>
      </c>
      <c r="CB4">
        <v>2.79</v>
      </c>
      <c r="CC4">
        <v>422</v>
      </c>
    </row>
    <row r="5" spans="1:81" x14ac:dyDescent="0.25">
      <c r="A5">
        <v>775</v>
      </c>
      <c r="B5" s="2">
        <v>45204</v>
      </c>
      <c r="C5" t="s">
        <v>342</v>
      </c>
      <c r="D5">
        <v>8</v>
      </c>
      <c r="E5">
        <v>123.63</v>
      </c>
      <c r="F5">
        <v>989.04</v>
      </c>
      <c r="G5" t="s">
        <v>267</v>
      </c>
      <c r="H5" t="s">
        <v>28</v>
      </c>
      <c r="I5" t="s">
        <v>45</v>
      </c>
      <c r="J5">
        <v>313.83999999999992</v>
      </c>
      <c r="BM5" t="s">
        <v>18</v>
      </c>
      <c r="BN5" t="s">
        <v>147</v>
      </c>
      <c r="BO5" t="s">
        <v>148</v>
      </c>
      <c r="BP5">
        <v>84.4</v>
      </c>
      <c r="BQ5">
        <v>123.63</v>
      </c>
      <c r="BR5">
        <v>237.48</v>
      </c>
      <c r="BS5">
        <v>206.93</v>
      </c>
      <c r="BT5">
        <v>299.92</v>
      </c>
      <c r="BU5">
        <v>9.81</v>
      </c>
      <c r="BV5">
        <v>38.76</v>
      </c>
      <c r="BW5">
        <v>7.67</v>
      </c>
      <c r="BX5">
        <v>0</v>
      </c>
      <c r="BY5">
        <v>0</v>
      </c>
      <c r="BZ5">
        <v>8.7899999999999991</v>
      </c>
      <c r="CA5">
        <v>68.58</v>
      </c>
      <c r="CB5">
        <v>2.79</v>
      </c>
      <c r="CC5">
        <v>675.2</v>
      </c>
    </row>
    <row r="6" spans="1:81" x14ac:dyDescent="0.25">
      <c r="A6">
        <v>775</v>
      </c>
      <c r="B6" s="2">
        <v>45204</v>
      </c>
      <c r="C6" t="s">
        <v>343</v>
      </c>
      <c r="D6">
        <v>2</v>
      </c>
      <c r="E6">
        <v>206.93</v>
      </c>
      <c r="F6">
        <v>413.86</v>
      </c>
      <c r="G6" t="s">
        <v>267</v>
      </c>
      <c r="H6" t="s">
        <v>28</v>
      </c>
      <c r="I6" t="s">
        <v>45</v>
      </c>
      <c r="J6">
        <v>76.259999999999991</v>
      </c>
      <c r="BM6" t="s">
        <v>19</v>
      </c>
      <c r="BN6" t="s">
        <v>147</v>
      </c>
      <c r="BO6" t="s">
        <v>148</v>
      </c>
      <c r="BP6">
        <v>168.8</v>
      </c>
      <c r="BQ6">
        <v>123.63</v>
      </c>
      <c r="BR6">
        <v>237.48</v>
      </c>
      <c r="BS6">
        <v>206.93</v>
      </c>
      <c r="BT6">
        <v>299.92</v>
      </c>
      <c r="BU6">
        <v>9.81</v>
      </c>
      <c r="BV6">
        <v>38.76</v>
      </c>
      <c r="BW6">
        <v>7.67</v>
      </c>
      <c r="BX6">
        <v>0</v>
      </c>
      <c r="BY6">
        <v>0</v>
      </c>
      <c r="BZ6">
        <v>8.7899999999999991</v>
      </c>
      <c r="CA6">
        <v>68.58</v>
      </c>
      <c r="CB6">
        <v>2.79</v>
      </c>
      <c r="CC6">
        <v>337.6</v>
      </c>
    </row>
    <row r="7" spans="1:81" x14ac:dyDescent="0.25">
      <c r="A7">
        <v>775</v>
      </c>
      <c r="B7" s="2">
        <v>45205</v>
      </c>
      <c r="C7" t="s">
        <v>342</v>
      </c>
      <c r="D7">
        <v>8</v>
      </c>
      <c r="E7">
        <v>123.63</v>
      </c>
      <c r="F7">
        <v>989.04</v>
      </c>
      <c r="G7" t="s">
        <v>267</v>
      </c>
      <c r="H7" t="s">
        <v>28</v>
      </c>
      <c r="I7" t="s">
        <v>45</v>
      </c>
      <c r="J7">
        <v>313.83999999999992</v>
      </c>
      <c r="BM7" t="s">
        <v>18</v>
      </c>
      <c r="BN7" t="s">
        <v>147</v>
      </c>
      <c r="BO7" t="s">
        <v>148</v>
      </c>
      <c r="BP7">
        <v>84.4</v>
      </c>
      <c r="BQ7">
        <v>123.63</v>
      </c>
      <c r="BR7">
        <v>237.48</v>
      </c>
      <c r="BS7">
        <v>206.93</v>
      </c>
      <c r="BT7">
        <v>299.92</v>
      </c>
      <c r="BU7">
        <v>9.81</v>
      </c>
      <c r="BV7">
        <v>38.76</v>
      </c>
      <c r="BW7">
        <v>7.67</v>
      </c>
      <c r="BX7">
        <v>0</v>
      </c>
      <c r="BY7">
        <v>0</v>
      </c>
      <c r="BZ7">
        <v>8.7899999999999991</v>
      </c>
      <c r="CA7">
        <v>68.58</v>
      </c>
      <c r="CB7">
        <v>2.79</v>
      </c>
      <c r="CC7">
        <v>675.2</v>
      </c>
    </row>
    <row r="8" spans="1:81" x14ac:dyDescent="0.25">
      <c r="A8">
        <v>775</v>
      </c>
      <c r="B8" s="2">
        <v>45205</v>
      </c>
      <c r="C8" t="s">
        <v>343</v>
      </c>
      <c r="D8">
        <v>1.5</v>
      </c>
      <c r="E8">
        <v>206.93</v>
      </c>
      <c r="F8">
        <v>310.39499999999998</v>
      </c>
      <c r="G8" t="s">
        <v>267</v>
      </c>
      <c r="H8" t="s">
        <v>28</v>
      </c>
      <c r="I8" t="s">
        <v>45</v>
      </c>
      <c r="J8">
        <v>57.194999999999993</v>
      </c>
      <c r="BM8" t="s">
        <v>19</v>
      </c>
      <c r="BN8" t="s">
        <v>147</v>
      </c>
      <c r="BO8" t="s">
        <v>148</v>
      </c>
      <c r="BP8">
        <v>168.8</v>
      </c>
      <c r="BQ8">
        <v>123.63</v>
      </c>
      <c r="BR8">
        <v>237.48</v>
      </c>
      <c r="BS8">
        <v>206.93</v>
      </c>
      <c r="BT8">
        <v>299.92</v>
      </c>
      <c r="BU8">
        <v>9.81</v>
      </c>
      <c r="BV8">
        <v>38.76</v>
      </c>
      <c r="BW8">
        <v>7.67</v>
      </c>
      <c r="BX8">
        <v>0</v>
      </c>
      <c r="BY8">
        <v>0</v>
      </c>
      <c r="BZ8">
        <v>8.7899999999999991</v>
      </c>
      <c r="CA8">
        <v>68.58</v>
      </c>
      <c r="CB8">
        <v>2.79</v>
      </c>
      <c r="CC8">
        <v>253.2</v>
      </c>
    </row>
    <row r="9" spans="1:81" x14ac:dyDescent="0.25">
      <c r="A9">
        <v>775</v>
      </c>
      <c r="B9" s="2">
        <v>45206</v>
      </c>
      <c r="C9" t="s">
        <v>343</v>
      </c>
      <c r="D9">
        <v>8</v>
      </c>
      <c r="E9">
        <v>206.93</v>
      </c>
      <c r="F9">
        <v>1655.44</v>
      </c>
      <c r="G9" t="s">
        <v>267</v>
      </c>
      <c r="H9" t="s">
        <v>28</v>
      </c>
      <c r="I9" t="s">
        <v>45</v>
      </c>
      <c r="J9">
        <v>305.03999999999996</v>
      </c>
      <c r="BM9" t="s">
        <v>19</v>
      </c>
      <c r="BN9" t="s">
        <v>147</v>
      </c>
      <c r="BO9" t="s">
        <v>148</v>
      </c>
      <c r="BP9">
        <v>168.8</v>
      </c>
      <c r="BQ9">
        <v>123.63</v>
      </c>
      <c r="BR9">
        <v>237.48</v>
      </c>
      <c r="BS9">
        <v>206.93</v>
      </c>
      <c r="BT9">
        <v>299.92</v>
      </c>
      <c r="BU9">
        <v>9.81</v>
      </c>
      <c r="BV9">
        <v>38.76</v>
      </c>
      <c r="BW9">
        <v>7.67</v>
      </c>
      <c r="BX9">
        <v>0</v>
      </c>
      <c r="BY9">
        <v>0</v>
      </c>
      <c r="BZ9">
        <v>8.7899999999999991</v>
      </c>
      <c r="CA9">
        <v>68.58</v>
      </c>
      <c r="CB9">
        <v>2.79</v>
      </c>
      <c r="CC9">
        <v>1350.4</v>
      </c>
    </row>
    <row r="10" spans="1:81" x14ac:dyDescent="0.25">
      <c r="A10">
        <v>775</v>
      </c>
      <c r="B10" s="2">
        <v>45207</v>
      </c>
      <c r="C10" t="s">
        <v>344</v>
      </c>
      <c r="D10">
        <v>5</v>
      </c>
      <c r="E10">
        <v>38.76</v>
      </c>
      <c r="F10">
        <v>193.79999999999998</v>
      </c>
      <c r="G10" t="s">
        <v>267</v>
      </c>
      <c r="H10" t="s">
        <v>28</v>
      </c>
      <c r="I10" t="s">
        <v>45</v>
      </c>
      <c r="J10">
        <v>13.349999999999994</v>
      </c>
      <c r="K10" t="s">
        <v>386</v>
      </c>
      <c r="L10" t="s">
        <v>387</v>
      </c>
      <c r="M10" t="s">
        <v>362</v>
      </c>
      <c r="N10" t="s">
        <v>374</v>
      </c>
      <c r="O10" t="s">
        <v>60</v>
      </c>
      <c r="P10" t="s">
        <v>60</v>
      </c>
      <c r="Q10" t="s">
        <v>60</v>
      </c>
      <c r="R10" t="s">
        <v>60</v>
      </c>
      <c r="S10" t="s">
        <v>90</v>
      </c>
      <c r="T10" t="s">
        <v>327</v>
      </c>
      <c r="U10" t="s">
        <v>388</v>
      </c>
      <c r="V10" t="s">
        <v>389</v>
      </c>
      <c r="W10" t="s">
        <v>60</v>
      </c>
      <c r="X10" t="s">
        <v>60</v>
      </c>
      <c r="Y10" t="s">
        <v>55</v>
      </c>
      <c r="Z10" t="s">
        <v>56</v>
      </c>
      <c r="AA10" t="s">
        <v>60</v>
      </c>
      <c r="AB10" t="s">
        <v>60</v>
      </c>
      <c r="AC10" t="s">
        <v>60</v>
      </c>
      <c r="AD10" t="s">
        <v>60</v>
      </c>
      <c r="AE10" t="s">
        <v>60</v>
      </c>
      <c r="AF10" t="s">
        <v>60</v>
      </c>
      <c r="AG10" t="s">
        <v>362</v>
      </c>
      <c r="AH10" t="s">
        <v>375</v>
      </c>
      <c r="AI10">
        <v>5</v>
      </c>
      <c r="AJ10">
        <v>180.45</v>
      </c>
      <c r="AK10" t="s">
        <v>167</v>
      </c>
      <c r="AL10" t="s">
        <v>434</v>
      </c>
      <c r="AM10" t="s">
        <v>57</v>
      </c>
      <c r="AN10" t="s">
        <v>58</v>
      </c>
      <c r="AO10" t="s">
        <v>60</v>
      </c>
      <c r="AP10" t="s">
        <v>60</v>
      </c>
      <c r="AQ10">
        <v>0</v>
      </c>
      <c r="AR10">
        <v>0</v>
      </c>
      <c r="AS10" t="s">
        <v>334</v>
      </c>
      <c r="AT10" t="s">
        <v>60</v>
      </c>
      <c r="AU10" t="s">
        <v>60</v>
      </c>
      <c r="AV10" t="s">
        <v>59</v>
      </c>
      <c r="AW10" t="s">
        <v>478</v>
      </c>
      <c r="AX10" t="s">
        <v>479</v>
      </c>
      <c r="AY10" t="s">
        <v>481</v>
      </c>
      <c r="AZ10" t="s">
        <v>482</v>
      </c>
      <c r="BA10" t="s">
        <v>480</v>
      </c>
      <c r="BB10" t="s">
        <v>483</v>
      </c>
      <c r="BL10" t="s">
        <v>484</v>
      </c>
      <c r="BM10" t="s">
        <v>13</v>
      </c>
      <c r="BN10" t="s">
        <v>329</v>
      </c>
      <c r="BO10" t="s">
        <v>148</v>
      </c>
      <c r="BP10">
        <v>36.089999999999996</v>
      </c>
      <c r="BQ10">
        <v>123.63</v>
      </c>
      <c r="BR10">
        <v>237.48</v>
      </c>
      <c r="BS10">
        <v>206.93</v>
      </c>
      <c r="BT10">
        <v>299.92</v>
      </c>
      <c r="BU10">
        <v>9.81</v>
      </c>
      <c r="BV10">
        <v>38.76</v>
      </c>
      <c r="BW10">
        <v>7.67</v>
      </c>
      <c r="BX10">
        <v>0</v>
      </c>
      <c r="BY10">
        <v>0</v>
      </c>
      <c r="BZ10">
        <v>8.7899999999999991</v>
      </c>
      <c r="CA10">
        <v>68.58</v>
      </c>
      <c r="CB10">
        <v>2.79</v>
      </c>
      <c r="CC10">
        <v>180.45</v>
      </c>
    </row>
    <row r="11" spans="1:81" x14ac:dyDescent="0.25">
      <c r="A11">
        <v>775</v>
      </c>
      <c r="B11" s="2">
        <v>45207</v>
      </c>
      <c r="C11" t="s">
        <v>345</v>
      </c>
      <c r="D11">
        <v>14</v>
      </c>
      <c r="E11">
        <v>2.79</v>
      </c>
      <c r="F11">
        <v>39.06</v>
      </c>
      <c r="G11" t="s">
        <v>267</v>
      </c>
      <c r="H11" t="s">
        <v>28</v>
      </c>
      <c r="I11" t="s">
        <v>45</v>
      </c>
      <c r="J11">
        <v>4.3400000000000034</v>
      </c>
      <c r="K11" t="s">
        <v>386</v>
      </c>
      <c r="L11" t="s">
        <v>387</v>
      </c>
      <c r="M11" t="s">
        <v>362</v>
      </c>
      <c r="N11" t="s">
        <v>374</v>
      </c>
      <c r="O11" t="s">
        <v>60</v>
      </c>
      <c r="P11" t="s">
        <v>60</v>
      </c>
      <c r="Q11" t="s">
        <v>60</v>
      </c>
      <c r="R11" t="s">
        <v>60</v>
      </c>
      <c r="S11" t="s">
        <v>90</v>
      </c>
      <c r="T11" t="s">
        <v>327</v>
      </c>
      <c r="U11" t="s">
        <v>388</v>
      </c>
      <c r="V11" t="s">
        <v>389</v>
      </c>
      <c r="W11" t="s">
        <v>60</v>
      </c>
      <c r="X11" t="s">
        <v>60</v>
      </c>
      <c r="Y11" t="s">
        <v>55</v>
      </c>
      <c r="Z11" t="s">
        <v>56</v>
      </c>
      <c r="AA11" t="s">
        <v>60</v>
      </c>
      <c r="AB11" t="s">
        <v>60</v>
      </c>
      <c r="AC11" t="s">
        <v>60</v>
      </c>
      <c r="AD11" t="s">
        <v>60</v>
      </c>
      <c r="AE11" t="s">
        <v>60</v>
      </c>
      <c r="AF11" t="s">
        <v>60</v>
      </c>
      <c r="AI11" t="s">
        <v>431</v>
      </c>
      <c r="AJ11" t="s">
        <v>433</v>
      </c>
      <c r="AK11" t="s">
        <v>167</v>
      </c>
      <c r="AL11" t="s">
        <v>434</v>
      </c>
      <c r="AM11" t="s">
        <v>57</v>
      </c>
      <c r="AN11" t="s">
        <v>58</v>
      </c>
      <c r="AO11" t="s">
        <v>60</v>
      </c>
      <c r="AP11" t="s">
        <v>60</v>
      </c>
      <c r="AQ11" t="s">
        <v>60</v>
      </c>
      <c r="AR11" t="s">
        <v>60</v>
      </c>
      <c r="AV11" t="s">
        <v>59</v>
      </c>
      <c r="BB11" t="s">
        <v>483</v>
      </c>
      <c r="BL11" t="s">
        <v>484</v>
      </c>
      <c r="BM11" t="s">
        <v>14</v>
      </c>
      <c r="BN11" t="s">
        <v>329</v>
      </c>
      <c r="BO11" t="s">
        <v>148</v>
      </c>
      <c r="BP11">
        <v>2.48</v>
      </c>
      <c r="BQ11">
        <v>123.63</v>
      </c>
      <c r="BR11">
        <v>237.48</v>
      </c>
      <c r="BS11">
        <v>206.93</v>
      </c>
      <c r="BT11">
        <v>299.92</v>
      </c>
      <c r="BU11">
        <v>9.81</v>
      </c>
      <c r="BV11">
        <v>38.76</v>
      </c>
      <c r="BW11">
        <v>7.67</v>
      </c>
      <c r="BX11">
        <v>0</v>
      </c>
      <c r="BY11">
        <v>0</v>
      </c>
      <c r="BZ11">
        <v>8.7899999999999991</v>
      </c>
      <c r="CA11">
        <v>68.58</v>
      </c>
      <c r="CB11">
        <v>2.79</v>
      </c>
      <c r="CC11">
        <v>34.72</v>
      </c>
    </row>
    <row r="12" spans="1:81" x14ac:dyDescent="0.25">
      <c r="A12">
        <v>775</v>
      </c>
      <c r="B12" s="2">
        <v>45207</v>
      </c>
      <c r="C12" t="s">
        <v>346</v>
      </c>
      <c r="D12">
        <v>45.5</v>
      </c>
      <c r="E12">
        <v>9.81</v>
      </c>
      <c r="F12">
        <v>446.35500000000002</v>
      </c>
      <c r="G12" t="s">
        <v>267</v>
      </c>
      <c r="H12" t="s">
        <v>28</v>
      </c>
      <c r="I12" t="s">
        <v>45</v>
      </c>
      <c r="J12">
        <v>96.004999999999995</v>
      </c>
      <c r="K12" t="s">
        <v>386</v>
      </c>
      <c r="L12" t="s">
        <v>387</v>
      </c>
      <c r="M12" t="s">
        <v>362</v>
      </c>
      <c r="N12" t="s">
        <v>374</v>
      </c>
      <c r="O12" t="s">
        <v>60</v>
      </c>
      <c r="P12" t="s">
        <v>60</v>
      </c>
      <c r="Q12" t="s">
        <v>60</v>
      </c>
      <c r="R12" t="s">
        <v>60</v>
      </c>
      <c r="S12" t="s">
        <v>90</v>
      </c>
      <c r="T12" t="s">
        <v>327</v>
      </c>
      <c r="U12" t="s">
        <v>388</v>
      </c>
      <c r="V12" t="s">
        <v>389</v>
      </c>
      <c r="W12" t="s">
        <v>60</v>
      </c>
      <c r="X12" t="s">
        <v>60</v>
      </c>
      <c r="Y12" t="s">
        <v>55</v>
      </c>
      <c r="Z12" t="s">
        <v>56</v>
      </c>
      <c r="AA12" t="s">
        <v>60</v>
      </c>
      <c r="AB12" t="s">
        <v>60</v>
      </c>
      <c r="AC12" t="s">
        <v>60</v>
      </c>
      <c r="AD12" t="s">
        <v>60</v>
      </c>
      <c r="AE12" t="s">
        <v>60</v>
      </c>
      <c r="AF12" t="s">
        <v>60</v>
      </c>
      <c r="AG12" t="s">
        <v>362</v>
      </c>
      <c r="AH12" t="s">
        <v>375</v>
      </c>
      <c r="AI12" t="s">
        <v>431</v>
      </c>
      <c r="AJ12" t="s">
        <v>433</v>
      </c>
      <c r="AK12" t="s">
        <v>167</v>
      </c>
      <c r="AL12" t="s">
        <v>434</v>
      </c>
      <c r="AM12" t="s">
        <v>57</v>
      </c>
      <c r="AN12" t="s">
        <v>58</v>
      </c>
      <c r="AV12" t="s">
        <v>59</v>
      </c>
      <c r="BM12" t="s">
        <v>22</v>
      </c>
      <c r="BN12" t="s">
        <v>329</v>
      </c>
      <c r="BO12" t="s">
        <v>148</v>
      </c>
      <c r="BP12">
        <v>7.7</v>
      </c>
      <c r="BQ12">
        <v>123.63</v>
      </c>
      <c r="BR12">
        <v>237.48</v>
      </c>
      <c r="BS12">
        <v>206.93</v>
      </c>
      <c r="BT12">
        <v>299.92</v>
      </c>
      <c r="BU12">
        <v>9.81</v>
      </c>
      <c r="BV12">
        <v>38.76</v>
      </c>
      <c r="BW12">
        <v>7.67</v>
      </c>
      <c r="BX12">
        <v>0</v>
      </c>
      <c r="BY12">
        <v>0</v>
      </c>
      <c r="BZ12">
        <v>8.7899999999999991</v>
      </c>
      <c r="CA12">
        <v>68.58</v>
      </c>
      <c r="CB12">
        <v>2.79</v>
      </c>
      <c r="CC12">
        <v>350.35</v>
      </c>
    </row>
    <row r="13" spans="1:81" x14ac:dyDescent="0.25">
      <c r="A13">
        <v>775</v>
      </c>
      <c r="B13" s="2">
        <v>45207</v>
      </c>
      <c r="C13" t="s">
        <v>347</v>
      </c>
      <c r="D13">
        <v>6</v>
      </c>
      <c r="E13">
        <v>68.58</v>
      </c>
      <c r="F13">
        <v>411.48</v>
      </c>
      <c r="G13" t="s">
        <v>267</v>
      </c>
      <c r="H13" t="s">
        <v>28</v>
      </c>
      <c r="I13" t="s">
        <v>45</v>
      </c>
      <c r="J13">
        <v>81.480000000000018</v>
      </c>
      <c r="K13" t="s">
        <v>386</v>
      </c>
      <c r="L13" t="s">
        <v>387</v>
      </c>
      <c r="M13" t="s">
        <v>362</v>
      </c>
      <c r="N13" t="s">
        <v>374</v>
      </c>
      <c r="O13" t="s">
        <v>60</v>
      </c>
      <c r="P13" t="s">
        <v>60</v>
      </c>
      <c r="Q13" t="s">
        <v>60</v>
      </c>
      <c r="R13" t="s">
        <v>60</v>
      </c>
      <c r="S13" t="s">
        <v>90</v>
      </c>
      <c r="T13" t="s">
        <v>327</v>
      </c>
      <c r="U13" t="s">
        <v>388</v>
      </c>
      <c r="V13" t="s">
        <v>389</v>
      </c>
      <c r="W13" t="s">
        <v>60</v>
      </c>
      <c r="X13" t="s">
        <v>60</v>
      </c>
      <c r="Y13" t="s">
        <v>55</v>
      </c>
      <c r="Z13" t="s">
        <v>56</v>
      </c>
      <c r="AA13" t="s">
        <v>60</v>
      </c>
      <c r="AB13" t="s">
        <v>60</v>
      </c>
      <c r="AC13" t="s">
        <v>60</v>
      </c>
      <c r="AD13" t="s">
        <v>60</v>
      </c>
      <c r="AE13" t="s">
        <v>60</v>
      </c>
      <c r="AF13" t="s">
        <v>60</v>
      </c>
      <c r="AG13" t="s">
        <v>362</v>
      </c>
      <c r="AH13" t="s">
        <v>375</v>
      </c>
      <c r="AI13" t="s">
        <v>431</v>
      </c>
      <c r="AJ13" t="s">
        <v>433</v>
      </c>
      <c r="AK13">
        <v>6</v>
      </c>
      <c r="AL13">
        <v>330</v>
      </c>
      <c r="AM13" t="s">
        <v>57</v>
      </c>
      <c r="AN13" t="s">
        <v>58</v>
      </c>
      <c r="AO13">
        <v>0</v>
      </c>
      <c r="AP13">
        <v>0</v>
      </c>
      <c r="AQ13" t="s">
        <v>60</v>
      </c>
      <c r="AR13" t="s">
        <v>60</v>
      </c>
      <c r="AS13" t="s">
        <v>334</v>
      </c>
      <c r="AT13" t="s">
        <v>60</v>
      </c>
      <c r="AU13" t="s">
        <v>60</v>
      </c>
      <c r="AV13" t="s">
        <v>59</v>
      </c>
      <c r="AW13" t="s">
        <v>478</v>
      </c>
      <c r="AX13" t="s">
        <v>479</v>
      </c>
      <c r="AY13" t="s">
        <v>481</v>
      </c>
      <c r="AZ13" t="s">
        <v>482</v>
      </c>
      <c r="BA13" t="s">
        <v>480</v>
      </c>
      <c r="BB13" t="s">
        <v>483</v>
      </c>
      <c r="BC13" t="s">
        <v>121</v>
      </c>
      <c r="BD13" t="s">
        <v>561</v>
      </c>
      <c r="BE13" t="s">
        <v>60</v>
      </c>
      <c r="BF13" t="s">
        <v>60</v>
      </c>
      <c r="BG13" t="s">
        <v>60</v>
      </c>
      <c r="BH13" t="s">
        <v>60</v>
      </c>
      <c r="BI13" t="s">
        <v>60</v>
      </c>
      <c r="BJ13" t="s">
        <v>60</v>
      </c>
      <c r="BK13" t="s">
        <v>60</v>
      </c>
      <c r="BL13" t="s">
        <v>484</v>
      </c>
      <c r="BM13" t="s">
        <v>25</v>
      </c>
      <c r="BN13" t="s">
        <v>329</v>
      </c>
      <c r="BO13" t="s">
        <v>148</v>
      </c>
      <c r="BP13">
        <v>55</v>
      </c>
      <c r="BQ13">
        <v>123.63</v>
      </c>
      <c r="BR13">
        <v>237.48</v>
      </c>
      <c r="BS13">
        <v>206.93</v>
      </c>
      <c r="BT13">
        <v>299.92</v>
      </c>
      <c r="BU13">
        <v>9.81</v>
      </c>
      <c r="BV13">
        <v>38.76</v>
      </c>
      <c r="BW13">
        <v>7.67</v>
      </c>
      <c r="BX13">
        <v>0</v>
      </c>
      <c r="BY13">
        <v>0</v>
      </c>
      <c r="BZ13">
        <v>8.7899999999999991</v>
      </c>
      <c r="CA13">
        <v>68.58</v>
      </c>
      <c r="CB13">
        <v>2.79</v>
      </c>
      <c r="CC13">
        <v>330</v>
      </c>
    </row>
    <row r="14" spans="1:81" x14ac:dyDescent="0.25">
      <c r="A14">
        <v>736</v>
      </c>
      <c r="B14" s="2">
        <v>45202</v>
      </c>
      <c r="C14" t="s">
        <v>276</v>
      </c>
      <c r="D14">
        <v>7.5</v>
      </c>
      <c r="E14">
        <v>123.63</v>
      </c>
      <c r="F14">
        <v>927.22499999999991</v>
      </c>
      <c r="G14" t="s">
        <v>267</v>
      </c>
      <c r="H14" t="s">
        <v>28</v>
      </c>
      <c r="I14" t="s">
        <v>45</v>
      </c>
      <c r="J14">
        <v>294.22499999999991</v>
      </c>
      <c r="BM14" t="s">
        <v>18</v>
      </c>
      <c r="BN14" t="s">
        <v>77</v>
      </c>
      <c r="BO14" t="s">
        <v>78</v>
      </c>
      <c r="BP14">
        <v>84.4</v>
      </c>
      <c r="BQ14">
        <v>123.63</v>
      </c>
      <c r="BR14">
        <v>237.48</v>
      </c>
      <c r="BS14">
        <v>206.93</v>
      </c>
      <c r="BT14">
        <v>299.92</v>
      </c>
      <c r="BU14">
        <v>9.81</v>
      </c>
      <c r="BV14">
        <v>38.76</v>
      </c>
      <c r="BW14">
        <v>7.67</v>
      </c>
      <c r="BX14">
        <v>0</v>
      </c>
      <c r="BY14">
        <v>0</v>
      </c>
      <c r="BZ14">
        <v>8.7899999999999991</v>
      </c>
      <c r="CA14">
        <v>68.58</v>
      </c>
      <c r="CB14">
        <v>2.79</v>
      </c>
      <c r="CC14">
        <v>633</v>
      </c>
    </row>
    <row r="15" spans="1:81" x14ac:dyDescent="0.25">
      <c r="A15">
        <v>736</v>
      </c>
      <c r="B15" s="2">
        <v>45203</v>
      </c>
      <c r="C15" t="s">
        <v>276</v>
      </c>
      <c r="D15">
        <v>8</v>
      </c>
      <c r="E15">
        <v>123.63</v>
      </c>
      <c r="F15">
        <v>989.04</v>
      </c>
      <c r="G15" t="s">
        <v>267</v>
      </c>
      <c r="H15" t="s">
        <v>28</v>
      </c>
      <c r="I15" t="s">
        <v>45</v>
      </c>
      <c r="J15">
        <v>313.83999999999992</v>
      </c>
      <c r="BM15" t="s">
        <v>18</v>
      </c>
      <c r="BN15" t="s">
        <v>77</v>
      </c>
      <c r="BO15" t="s">
        <v>78</v>
      </c>
      <c r="BP15">
        <v>84.4</v>
      </c>
      <c r="BQ15">
        <v>123.63</v>
      </c>
      <c r="BR15">
        <v>237.48</v>
      </c>
      <c r="BS15">
        <v>206.93</v>
      </c>
      <c r="BT15">
        <v>299.92</v>
      </c>
      <c r="BU15">
        <v>9.81</v>
      </c>
      <c r="BV15">
        <v>38.76</v>
      </c>
      <c r="BW15">
        <v>7.67</v>
      </c>
      <c r="BX15">
        <v>0</v>
      </c>
      <c r="BY15">
        <v>0</v>
      </c>
      <c r="BZ15">
        <v>8.7899999999999991</v>
      </c>
      <c r="CA15">
        <v>68.58</v>
      </c>
      <c r="CB15">
        <v>2.79</v>
      </c>
      <c r="CC15">
        <v>675.2</v>
      </c>
    </row>
    <row r="16" spans="1:81" x14ac:dyDescent="0.25">
      <c r="A16">
        <v>736</v>
      </c>
      <c r="B16" s="2">
        <v>45203</v>
      </c>
      <c r="C16" t="s">
        <v>277</v>
      </c>
      <c r="D16">
        <v>1.5</v>
      </c>
      <c r="E16">
        <v>206.93</v>
      </c>
      <c r="F16">
        <v>310.39499999999998</v>
      </c>
      <c r="G16" t="s">
        <v>267</v>
      </c>
      <c r="H16" t="s">
        <v>28</v>
      </c>
      <c r="I16" t="s">
        <v>45</v>
      </c>
      <c r="J16">
        <v>57.194999999999993</v>
      </c>
      <c r="BM16" t="s">
        <v>19</v>
      </c>
      <c r="BN16" t="s">
        <v>77</v>
      </c>
      <c r="BO16" t="s">
        <v>78</v>
      </c>
      <c r="BP16">
        <v>168.8</v>
      </c>
      <c r="BQ16">
        <v>123.63</v>
      </c>
      <c r="BR16">
        <v>237.48</v>
      </c>
      <c r="BS16">
        <v>206.93</v>
      </c>
      <c r="BT16">
        <v>299.92</v>
      </c>
      <c r="BU16">
        <v>9.81</v>
      </c>
      <c r="BV16">
        <v>38.76</v>
      </c>
      <c r="BW16">
        <v>7.67</v>
      </c>
      <c r="BX16">
        <v>0</v>
      </c>
      <c r="BY16">
        <v>0</v>
      </c>
      <c r="BZ16">
        <v>8.7899999999999991</v>
      </c>
      <c r="CA16">
        <v>68.58</v>
      </c>
      <c r="CB16">
        <v>2.79</v>
      </c>
      <c r="CC16">
        <v>253.2</v>
      </c>
    </row>
    <row r="17" spans="1:81" x14ac:dyDescent="0.25">
      <c r="A17">
        <v>736</v>
      </c>
      <c r="B17" s="2">
        <v>45204</v>
      </c>
      <c r="C17" t="s">
        <v>276</v>
      </c>
      <c r="D17">
        <v>8</v>
      </c>
      <c r="E17">
        <v>123.63</v>
      </c>
      <c r="F17">
        <v>989.04</v>
      </c>
      <c r="G17" t="s">
        <v>267</v>
      </c>
      <c r="H17" t="s">
        <v>28</v>
      </c>
      <c r="I17" t="s">
        <v>45</v>
      </c>
      <c r="J17">
        <v>313.83999999999992</v>
      </c>
      <c r="BM17" t="s">
        <v>18</v>
      </c>
      <c r="BN17" t="s">
        <v>77</v>
      </c>
      <c r="BO17" t="s">
        <v>78</v>
      </c>
      <c r="BP17">
        <v>84.4</v>
      </c>
      <c r="BQ17">
        <v>123.63</v>
      </c>
      <c r="BR17">
        <v>237.48</v>
      </c>
      <c r="BS17">
        <v>206.93</v>
      </c>
      <c r="BT17">
        <v>299.92</v>
      </c>
      <c r="BU17">
        <v>9.81</v>
      </c>
      <c r="BV17">
        <v>38.76</v>
      </c>
      <c r="BW17">
        <v>7.67</v>
      </c>
      <c r="BX17">
        <v>0</v>
      </c>
      <c r="BY17">
        <v>0</v>
      </c>
      <c r="BZ17">
        <v>8.7899999999999991</v>
      </c>
      <c r="CA17">
        <v>68.58</v>
      </c>
      <c r="CB17">
        <v>2.79</v>
      </c>
      <c r="CC17">
        <v>675.2</v>
      </c>
    </row>
    <row r="18" spans="1:81" x14ac:dyDescent="0.25">
      <c r="A18">
        <v>736</v>
      </c>
      <c r="B18" s="2">
        <v>45204</v>
      </c>
      <c r="C18" t="s">
        <v>277</v>
      </c>
      <c r="D18">
        <v>1.5</v>
      </c>
      <c r="E18">
        <v>206.93</v>
      </c>
      <c r="F18">
        <v>310.39499999999998</v>
      </c>
      <c r="G18" t="s">
        <v>267</v>
      </c>
      <c r="H18" t="s">
        <v>28</v>
      </c>
      <c r="I18" t="s">
        <v>45</v>
      </c>
      <c r="J18">
        <v>57.194999999999993</v>
      </c>
      <c r="BM18" t="s">
        <v>19</v>
      </c>
      <c r="BN18" t="s">
        <v>77</v>
      </c>
      <c r="BO18" t="s">
        <v>78</v>
      </c>
      <c r="BP18">
        <v>168.8</v>
      </c>
      <c r="BQ18">
        <v>123.63</v>
      </c>
      <c r="BR18">
        <v>237.48</v>
      </c>
      <c r="BS18">
        <v>206.93</v>
      </c>
      <c r="BT18">
        <v>299.92</v>
      </c>
      <c r="BU18">
        <v>9.81</v>
      </c>
      <c r="BV18">
        <v>38.76</v>
      </c>
      <c r="BW18">
        <v>7.67</v>
      </c>
      <c r="BX18">
        <v>0</v>
      </c>
      <c r="BY18">
        <v>0</v>
      </c>
      <c r="BZ18">
        <v>8.7899999999999991</v>
      </c>
      <c r="CA18">
        <v>68.58</v>
      </c>
      <c r="CB18">
        <v>2.79</v>
      </c>
      <c r="CC18">
        <v>253.2</v>
      </c>
    </row>
    <row r="19" spans="1:81" x14ac:dyDescent="0.25">
      <c r="A19">
        <v>736</v>
      </c>
      <c r="B19" s="2">
        <v>45205</v>
      </c>
      <c r="C19" t="s">
        <v>276</v>
      </c>
      <c r="D19">
        <v>8</v>
      </c>
      <c r="E19">
        <v>123.63</v>
      </c>
      <c r="F19">
        <v>989.04</v>
      </c>
      <c r="G19" t="s">
        <v>267</v>
      </c>
      <c r="H19" t="s">
        <v>28</v>
      </c>
      <c r="I19" t="s">
        <v>45</v>
      </c>
      <c r="J19">
        <v>313.83999999999992</v>
      </c>
      <c r="BM19" t="s">
        <v>18</v>
      </c>
      <c r="BN19" t="s">
        <v>77</v>
      </c>
      <c r="BO19" t="s">
        <v>78</v>
      </c>
      <c r="BP19">
        <v>84.4</v>
      </c>
      <c r="BQ19">
        <v>123.63</v>
      </c>
      <c r="BR19">
        <v>237.48</v>
      </c>
      <c r="BS19">
        <v>206.93</v>
      </c>
      <c r="BT19">
        <v>299.92</v>
      </c>
      <c r="BU19">
        <v>9.81</v>
      </c>
      <c r="BV19">
        <v>38.76</v>
      </c>
      <c r="BW19">
        <v>7.67</v>
      </c>
      <c r="BX19">
        <v>0</v>
      </c>
      <c r="BY19">
        <v>0</v>
      </c>
      <c r="BZ19">
        <v>8.7899999999999991</v>
      </c>
      <c r="CA19">
        <v>68.58</v>
      </c>
      <c r="CB19">
        <v>2.79</v>
      </c>
      <c r="CC19">
        <v>675.2</v>
      </c>
    </row>
    <row r="20" spans="1:81" x14ac:dyDescent="0.25">
      <c r="A20">
        <v>736</v>
      </c>
      <c r="B20" s="2">
        <v>45205</v>
      </c>
      <c r="C20" t="s">
        <v>277</v>
      </c>
      <c r="D20">
        <v>1.5</v>
      </c>
      <c r="E20">
        <v>206.93</v>
      </c>
      <c r="F20">
        <v>310.39499999999998</v>
      </c>
      <c r="G20" t="s">
        <v>267</v>
      </c>
      <c r="H20" t="s">
        <v>28</v>
      </c>
      <c r="I20" t="s">
        <v>45</v>
      </c>
      <c r="J20">
        <v>57.194999999999993</v>
      </c>
      <c r="BM20" t="s">
        <v>19</v>
      </c>
      <c r="BN20" t="s">
        <v>77</v>
      </c>
      <c r="BO20" t="s">
        <v>78</v>
      </c>
      <c r="BP20">
        <v>168.8</v>
      </c>
      <c r="BQ20">
        <v>123.63</v>
      </c>
      <c r="BR20">
        <v>237.48</v>
      </c>
      <c r="BS20">
        <v>206.93</v>
      </c>
      <c r="BT20">
        <v>299.92</v>
      </c>
      <c r="BU20">
        <v>9.81</v>
      </c>
      <c r="BV20">
        <v>38.76</v>
      </c>
      <c r="BW20">
        <v>7.67</v>
      </c>
      <c r="BX20">
        <v>0</v>
      </c>
      <c r="BY20">
        <v>0</v>
      </c>
      <c r="BZ20">
        <v>8.7899999999999991</v>
      </c>
      <c r="CA20">
        <v>68.58</v>
      </c>
      <c r="CB20">
        <v>2.79</v>
      </c>
      <c r="CC20">
        <v>253.2</v>
      </c>
    </row>
    <row r="21" spans="1:81" x14ac:dyDescent="0.25">
      <c r="A21">
        <v>736</v>
      </c>
      <c r="B21" s="2">
        <v>45207</v>
      </c>
      <c r="C21" t="s">
        <v>317</v>
      </c>
      <c r="D21">
        <v>3</v>
      </c>
      <c r="E21">
        <v>38.76</v>
      </c>
      <c r="F21">
        <v>116.28</v>
      </c>
      <c r="G21" t="s">
        <v>267</v>
      </c>
      <c r="H21" t="s">
        <v>28</v>
      </c>
      <c r="I21" t="s">
        <v>45</v>
      </c>
      <c r="J21">
        <v>8.0100000000000051</v>
      </c>
      <c r="K21" t="s">
        <v>386</v>
      </c>
      <c r="L21" t="s">
        <v>387</v>
      </c>
      <c r="M21" t="s">
        <v>443</v>
      </c>
      <c r="N21" t="s">
        <v>444</v>
      </c>
      <c r="O21" t="s">
        <v>60</v>
      </c>
      <c r="P21" t="s">
        <v>60</v>
      </c>
      <c r="Q21" t="s">
        <v>60</v>
      </c>
      <c r="R21" t="s">
        <v>60</v>
      </c>
      <c r="S21" t="s">
        <v>167</v>
      </c>
      <c r="T21" t="s">
        <v>445</v>
      </c>
      <c r="U21" t="s">
        <v>388</v>
      </c>
      <c r="V21" t="s">
        <v>389</v>
      </c>
      <c r="W21" t="s">
        <v>60</v>
      </c>
      <c r="X21" t="s">
        <v>60</v>
      </c>
      <c r="Y21" t="s">
        <v>55</v>
      </c>
      <c r="Z21" t="s">
        <v>56</v>
      </c>
      <c r="AA21" t="s">
        <v>60</v>
      </c>
      <c r="AB21" t="s">
        <v>60</v>
      </c>
      <c r="AC21" t="s">
        <v>60</v>
      </c>
      <c r="AD21" t="s">
        <v>60</v>
      </c>
      <c r="AE21" t="s">
        <v>60</v>
      </c>
      <c r="AF21" t="s">
        <v>60</v>
      </c>
      <c r="AG21" t="s">
        <v>443</v>
      </c>
      <c r="AH21" t="s">
        <v>446</v>
      </c>
      <c r="AI21">
        <v>3</v>
      </c>
      <c r="AJ21">
        <v>108.27</v>
      </c>
      <c r="AK21" t="s">
        <v>431</v>
      </c>
      <c r="AL21" t="s">
        <v>432</v>
      </c>
      <c r="AM21" t="s">
        <v>57</v>
      </c>
      <c r="AN21" t="s">
        <v>58</v>
      </c>
      <c r="AO21" t="s">
        <v>60</v>
      </c>
      <c r="AP21" t="s">
        <v>60</v>
      </c>
      <c r="AQ21">
        <v>0</v>
      </c>
      <c r="AR21">
        <v>0</v>
      </c>
      <c r="AS21" t="s">
        <v>60</v>
      </c>
      <c r="AT21" t="s">
        <v>60</v>
      </c>
      <c r="AU21" t="s">
        <v>60</v>
      </c>
      <c r="AV21" t="s">
        <v>59</v>
      </c>
      <c r="AW21" t="s">
        <v>496</v>
      </c>
      <c r="AX21" t="s">
        <v>496</v>
      </c>
      <c r="AY21" t="s">
        <v>498</v>
      </c>
      <c r="AZ21" t="s">
        <v>499</v>
      </c>
      <c r="BA21" t="s">
        <v>497</v>
      </c>
      <c r="BB21" t="s">
        <v>397</v>
      </c>
      <c r="BL21" t="s">
        <v>500</v>
      </c>
      <c r="BM21" t="s">
        <v>13</v>
      </c>
      <c r="BN21" t="s">
        <v>269</v>
      </c>
      <c r="BO21" t="s">
        <v>78</v>
      </c>
      <c r="BP21">
        <v>36.089999999999996</v>
      </c>
      <c r="BQ21">
        <v>123.63</v>
      </c>
      <c r="BR21">
        <v>237.48</v>
      </c>
      <c r="BS21">
        <v>206.93</v>
      </c>
      <c r="BT21">
        <v>299.92</v>
      </c>
      <c r="BU21">
        <v>9.81</v>
      </c>
      <c r="BV21">
        <v>38.76</v>
      </c>
      <c r="BW21">
        <v>7.67</v>
      </c>
      <c r="BX21">
        <v>0</v>
      </c>
      <c r="BY21">
        <v>0</v>
      </c>
      <c r="BZ21">
        <v>8.7899999999999991</v>
      </c>
      <c r="CA21">
        <v>68.58</v>
      </c>
      <c r="CB21">
        <v>2.79</v>
      </c>
      <c r="CC21">
        <v>108.27</v>
      </c>
    </row>
    <row r="22" spans="1:81" x14ac:dyDescent="0.25">
      <c r="A22">
        <v>736</v>
      </c>
      <c r="B22" s="2">
        <v>45207</v>
      </c>
      <c r="C22" t="s">
        <v>278</v>
      </c>
      <c r="D22">
        <v>4.5</v>
      </c>
      <c r="E22">
        <v>2.79</v>
      </c>
      <c r="F22">
        <v>12.555</v>
      </c>
      <c r="G22" t="s">
        <v>267</v>
      </c>
      <c r="H22" t="s">
        <v>28</v>
      </c>
      <c r="I22" t="s">
        <v>45</v>
      </c>
      <c r="J22">
        <v>1.3949999999999996</v>
      </c>
      <c r="K22" t="s">
        <v>386</v>
      </c>
      <c r="L22" t="s">
        <v>387</v>
      </c>
      <c r="M22" t="s">
        <v>443</v>
      </c>
      <c r="N22" t="s">
        <v>444</v>
      </c>
      <c r="O22" t="s">
        <v>60</v>
      </c>
      <c r="P22" t="s">
        <v>60</v>
      </c>
      <c r="Q22" t="s">
        <v>60</v>
      </c>
      <c r="R22" t="s">
        <v>60</v>
      </c>
      <c r="S22" t="s">
        <v>167</v>
      </c>
      <c r="T22" t="s">
        <v>445</v>
      </c>
      <c r="U22" t="s">
        <v>388</v>
      </c>
      <c r="V22" t="s">
        <v>389</v>
      </c>
      <c r="W22" t="s">
        <v>60</v>
      </c>
      <c r="X22" t="s">
        <v>60</v>
      </c>
      <c r="Y22" t="s">
        <v>55</v>
      </c>
      <c r="Z22" t="s">
        <v>56</v>
      </c>
      <c r="AA22" t="s">
        <v>60</v>
      </c>
      <c r="AB22" t="s">
        <v>60</v>
      </c>
      <c r="AC22" t="s">
        <v>60</v>
      </c>
      <c r="AD22" t="s">
        <v>60</v>
      </c>
      <c r="AE22" t="s">
        <v>60</v>
      </c>
      <c r="AF22" t="s">
        <v>60</v>
      </c>
      <c r="AI22" t="s">
        <v>239</v>
      </c>
      <c r="AJ22" t="s">
        <v>350</v>
      </c>
      <c r="AK22" t="s">
        <v>431</v>
      </c>
      <c r="AL22" t="s">
        <v>432</v>
      </c>
      <c r="AM22" t="s">
        <v>57</v>
      </c>
      <c r="AN22" t="s">
        <v>58</v>
      </c>
      <c r="AO22" t="s">
        <v>60</v>
      </c>
      <c r="AP22" t="s">
        <v>60</v>
      </c>
      <c r="AQ22" t="s">
        <v>60</v>
      </c>
      <c r="AR22" t="s">
        <v>60</v>
      </c>
      <c r="AV22" t="s">
        <v>59</v>
      </c>
      <c r="BB22" t="s">
        <v>397</v>
      </c>
      <c r="BL22" t="s">
        <v>500</v>
      </c>
      <c r="BM22" t="s">
        <v>14</v>
      </c>
      <c r="BN22" t="s">
        <v>269</v>
      </c>
      <c r="BO22" t="s">
        <v>78</v>
      </c>
      <c r="BP22">
        <v>2.48</v>
      </c>
      <c r="BQ22">
        <v>123.63</v>
      </c>
      <c r="BR22">
        <v>237.48</v>
      </c>
      <c r="BS22">
        <v>206.93</v>
      </c>
      <c r="BT22">
        <v>299.92</v>
      </c>
      <c r="BU22">
        <v>9.81</v>
      </c>
      <c r="BV22">
        <v>38.76</v>
      </c>
      <c r="BW22">
        <v>7.67</v>
      </c>
      <c r="BX22">
        <v>0</v>
      </c>
      <c r="BY22">
        <v>0</v>
      </c>
      <c r="BZ22">
        <v>8.7899999999999991</v>
      </c>
      <c r="CA22">
        <v>68.58</v>
      </c>
      <c r="CB22">
        <v>2.79</v>
      </c>
      <c r="CC22">
        <v>11.16</v>
      </c>
    </row>
    <row r="23" spans="1:81" x14ac:dyDescent="0.25">
      <c r="A23">
        <v>736</v>
      </c>
      <c r="B23" s="2">
        <v>45207</v>
      </c>
      <c r="C23" t="s">
        <v>279</v>
      </c>
      <c r="D23">
        <v>36</v>
      </c>
      <c r="E23">
        <v>9.81</v>
      </c>
      <c r="F23">
        <v>353.16</v>
      </c>
      <c r="G23" t="s">
        <v>267</v>
      </c>
      <c r="H23" t="s">
        <v>28</v>
      </c>
      <c r="I23" t="s">
        <v>45</v>
      </c>
      <c r="J23">
        <v>75.960000000000036</v>
      </c>
      <c r="K23" t="s">
        <v>386</v>
      </c>
      <c r="L23" t="s">
        <v>387</v>
      </c>
      <c r="M23" t="s">
        <v>443</v>
      </c>
      <c r="N23" t="s">
        <v>444</v>
      </c>
      <c r="O23" t="s">
        <v>60</v>
      </c>
      <c r="P23" t="s">
        <v>60</v>
      </c>
      <c r="Q23" t="s">
        <v>60</v>
      </c>
      <c r="R23" t="s">
        <v>60</v>
      </c>
      <c r="S23" t="s">
        <v>167</v>
      </c>
      <c r="T23" t="s">
        <v>445</v>
      </c>
      <c r="U23" t="s">
        <v>388</v>
      </c>
      <c r="V23" t="s">
        <v>389</v>
      </c>
      <c r="W23" t="s">
        <v>60</v>
      </c>
      <c r="X23" t="s">
        <v>60</v>
      </c>
      <c r="Y23" t="s">
        <v>55</v>
      </c>
      <c r="Z23" t="s">
        <v>56</v>
      </c>
      <c r="AA23" t="s">
        <v>60</v>
      </c>
      <c r="AB23" t="s">
        <v>60</v>
      </c>
      <c r="AC23" t="s">
        <v>60</v>
      </c>
      <c r="AD23" t="s">
        <v>60</v>
      </c>
      <c r="AE23" t="s">
        <v>60</v>
      </c>
      <c r="AF23" t="s">
        <v>60</v>
      </c>
      <c r="AG23" t="s">
        <v>443</v>
      </c>
      <c r="AH23" t="s">
        <v>446</v>
      </c>
      <c r="AI23" t="s">
        <v>239</v>
      </c>
      <c r="AJ23" t="s">
        <v>350</v>
      </c>
      <c r="AK23" t="s">
        <v>431</v>
      </c>
      <c r="AL23" t="s">
        <v>432</v>
      </c>
      <c r="AM23" t="s">
        <v>57</v>
      </c>
      <c r="AN23" t="s">
        <v>58</v>
      </c>
      <c r="AV23" t="s">
        <v>59</v>
      </c>
      <c r="BM23" t="s">
        <v>22</v>
      </c>
      <c r="BN23" t="s">
        <v>269</v>
      </c>
      <c r="BO23" t="s">
        <v>78</v>
      </c>
      <c r="BP23">
        <v>7.6999999999999993</v>
      </c>
      <c r="BQ23">
        <v>123.63</v>
      </c>
      <c r="BR23">
        <v>237.48</v>
      </c>
      <c r="BS23">
        <v>206.93</v>
      </c>
      <c r="BT23">
        <v>299.92</v>
      </c>
      <c r="BU23">
        <v>9.81</v>
      </c>
      <c r="BV23">
        <v>38.76</v>
      </c>
      <c r="BW23">
        <v>7.67</v>
      </c>
      <c r="BX23">
        <v>0</v>
      </c>
      <c r="BY23">
        <v>0</v>
      </c>
      <c r="BZ23">
        <v>8.7899999999999991</v>
      </c>
      <c r="CA23">
        <v>68.58</v>
      </c>
      <c r="CB23">
        <v>2.79</v>
      </c>
      <c r="CC23">
        <v>277.2</v>
      </c>
    </row>
    <row r="24" spans="1:81" x14ac:dyDescent="0.25">
      <c r="A24">
        <v>736</v>
      </c>
      <c r="B24" s="2">
        <v>45207</v>
      </c>
      <c r="C24" t="s">
        <v>280</v>
      </c>
      <c r="D24">
        <v>5</v>
      </c>
      <c r="E24">
        <v>68.58</v>
      </c>
      <c r="F24">
        <v>342.9</v>
      </c>
      <c r="G24" t="s">
        <v>267</v>
      </c>
      <c r="H24" t="s">
        <v>28</v>
      </c>
      <c r="I24" t="s">
        <v>45</v>
      </c>
      <c r="J24">
        <v>67.899999999999977</v>
      </c>
      <c r="K24" t="s">
        <v>386</v>
      </c>
      <c r="L24" t="s">
        <v>387</v>
      </c>
      <c r="M24" t="s">
        <v>443</v>
      </c>
      <c r="N24" t="s">
        <v>444</v>
      </c>
      <c r="O24" t="s">
        <v>60</v>
      </c>
      <c r="P24" t="s">
        <v>60</v>
      </c>
      <c r="Q24" t="s">
        <v>60</v>
      </c>
      <c r="R24" t="s">
        <v>60</v>
      </c>
      <c r="S24" t="s">
        <v>167</v>
      </c>
      <c r="T24" t="s">
        <v>445</v>
      </c>
      <c r="U24" t="s">
        <v>388</v>
      </c>
      <c r="V24" t="s">
        <v>389</v>
      </c>
      <c r="W24" t="s">
        <v>60</v>
      </c>
      <c r="X24" t="s">
        <v>60</v>
      </c>
      <c r="Y24" t="s">
        <v>55</v>
      </c>
      <c r="Z24" t="s">
        <v>56</v>
      </c>
      <c r="AA24" t="s">
        <v>60</v>
      </c>
      <c r="AB24" t="s">
        <v>60</v>
      </c>
      <c r="AC24" t="s">
        <v>60</v>
      </c>
      <c r="AD24" t="s">
        <v>60</v>
      </c>
      <c r="AE24" t="s">
        <v>60</v>
      </c>
      <c r="AF24" t="s">
        <v>60</v>
      </c>
      <c r="AG24" t="s">
        <v>443</v>
      </c>
      <c r="AH24" t="s">
        <v>446</v>
      </c>
      <c r="AI24" t="s">
        <v>239</v>
      </c>
      <c r="AJ24" t="s">
        <v>350</v>
      </c>
      <c r="AK24">
        <v>5</v>
      </c>
      <c r="AL24">
        <v>275</v>
      </c>
      <c r="AM24" t="s">
        <v>57</v>
      </c>
      <c r="AN24" t="s">
        <v>58</v>
      </c>
      <c r="AO24">
        <v>0</v>
      </c>
      <c r="AP24">
        <v>0</v>
      </c>
      <c r="AQ24" t="s">
        <v>60</v>
      </c>
      <c r="AR24" t="s">
        <v>60</v>
      </c>
      <c r="AS24" t="s">
        <v>60</v>
      </c>
      <c r="AT24" t="s">
        <v>60</v>
      </c>
      <c r="AU24" t="s">
        <v>60</v>
      </c>
      <c r="AV24" t="s">
        <v>59</v>
      </c>
      <c r="AW24" t="s">
        <v>496</v>
      </c>
      <c r="AX24" t="s">
        <v>496</v>
      </c>
      <c r="AY24" t="s">
        <v>498</v>
      </c>
      <c r="AZ24" t="s">
        <v>499</v>
      </c>
      <c r="BA24" t="s">
        <v>497</v>
      </c>
      <c r="BB24" t="s">
        <v>397</v>
      </c>
      <c r="BC24" t="s">
        <v>121</v>
      </c>
      <c r="BD24" t="s">
        <v>563</v>
      </c>
      <c r="BE24" t="s">
        <v>60</v>
      </c>
      <c r="BF24" t="s">
        <v>60</v>
      </c>
      <c r="BG24" t="s">
        <v>60</v>
      </c>
      <c r="BH24" t="s">
        <v>60</v>
      </c>
      <c r="BI24" t="s">
        <v>60</v>
      </c>
      <c r="BJ24" t="s">
        <v>60</v>
      </c>
      <c r="BK24" t="s">
        <v>60</v>
      </c>
      <c r="BL24" t="s">
        <v>500</v>
      </c>
      <c r="BM24" t="s">
        <v>25</v>
      </c>
      <c r="BN24" t="s">
        <v>269</v>
      </c>
      <c r="BO24" t="s">
        <v>78</v>
      </c>
      <c r="BP24">
        <v>55</v>
      </c>
      <c r="BQ24">
        <v>123.63</v>
      </c>
      <c r="BR24">
        <v>237.48</v>
      </c>
      <c r="BS24">
        <v>206.93</v>
      </c>
      <c r="BT24">
        <v>299.92</v>
      </c>
      <c r="BU24">
        <v>9.81</v>
      </c>
      <c r="BV24">
        <v>38.76</v>
      </c>
      <c r="BW24">
        <v>7.67</v>
      </c>
      <c r="BX24">
        <v>0</v>
      </c>
      <c r="BY24">
        <v>0</v>
      </c>
      <c r="BZ24">
        <v>8.7899999999999991</v>
      </c>
      <c r="CA24">
        <v>68.58</v>
      </c>
      <c r="CB24">
        <v>2.79</v>
      </c>
      <c r="CC24">
        <v>275</v>
      </c>
    </row>
    <row r="25" spans="1:81" x14ac:dyDescent="0.25">
      <c r="B25" s="2"/>
      <c r="F25">
        <f>SUBTOTAL(109,ARD_Invoice[Amount])</f>
        <v>13532.485000000004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D19E918-858A-4F60-BC2C-90E4D1FF93F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</vt:i4>
      </vt:variant>
    </vt:vector>
  </HeadingPairs>
  <TitlesOfParts>
    <vt:vector size="20" baseType="lpstr">
      <vt:lpstr>Input Charge Sheet</vt:lpstr>
      <vt:lpstr>Charge Sheet</vt:lpstr>
      <vt:lpstr>Job_Classifications</vt:lpstr>
      <vt:lpstr>Leading Hand  (2-5 Reports)</vt:lpstr>
      <vt:lpstr>Site Allowance</vt:lpstr>
      <vt:lpstr>Overtime Meal Allowance</vt:lpstr>
      <vt:lpstr>Travel &amp; Fares Allowance</vt:lpstr>
      <vt:lpstr>RDO Worked</vt:lpstr>
      <vt:lpstr>Overtime Productivity Allowance</vt:lpstr>
      <vt:lpstr>RDO Payout</vt:lpstr>
      <vt:lpstr>Pay Journal</vt:lpstr>
      <vt:lpstr>Daily_Cost_Detail_-_Actual</vt:lpstr>
      <vt:lpstr>WGT</vt:lpstr>
      <vt:lpstr>HBM Invoice</vt:lpstr>
      <vt:lpstr>WAB Invoice</vt:lpstr>
      <vt:lpstr>RTF Invoice</vt:lpstr>
      <vt:lpstr>CBD Invoice</vt:lpstr>
      <vt:lpstr>DOM Invoice</vt:lpstr>
      <vt:lpstr>ARD Invoice</vt:lpstr>
      <vt:lpstr>Reconciliation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Wayne Ralph</dc:creator>
  <cp:lastModifiedBy>Eilish Tickner</cp:lastModifiedBy>
  <cp:lastPrinted>2023-08-22T06:53:40Z</cp:lastPrinted>
  <dcterms:created xsi:type="dcterms:W3CDTF">2021-08-13T00:23:05Z</dcterms:created>
  <dcterms:modified xsi:type="dcterms:W3CDTF">2023-10-10T05:36:36Z</dcterms:modified>
</cp:coreProperties>
</file>